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cda521fd78511/Desktop/report 3/"/>
    </mc:Choice>
  </mc:AlternateContent>
  <xr:revisionPtr revIDLastSave="0" documentId="8_{EB35A1CA-A8B5-4D44-A38C-47CEB49DAA5B}" xr6:coauthVersionLast="47" xr6:coauthVersionMax="47" xr10:uidLastSave="{00000000-0000-0000-0000-000000000000}"/>
  <bookViews>
    <workbookView xWindow="-28920" yWindow="3075" windowWidth="29040" windowHeight="15720" tabRatio="500" activeTab="2" xr2:uid="{00000000-000D-0000-FFFF-FFFF00000000}"/>
  </bookViews>
  <sheets>
    <sheet name="Stream Table" sheetId="1" r:id="rId1"/>
    <sheet name="Mass Balance" sheetId="2" r:id="rId2"/>
    <sheet name="Energy Bal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3" l="1"/>
  <c r="D8" i="3"/>
  <c r="D16" i="3" s="1"/>
  <c r="D17" i="3" s="1"/>
  <c r="D19" i="3" s="1"/>
  <c r="D20" i="3" s="1"/>
  <c r="D22" i="3" s="1"/>
  <c r="D19" i="2"/>
  <c r="D20" i="2" s="1"/>
  <c r="D18" i="2"/>
  <c r="D16" i="2"/>
  <c r="D8" i="2"/>
</calcChain>
</file>

<file path=xl/sharedStrings.xml><?xml version="1.0" encoding="utf-8"?>
<sst xmlns="http://schemas.openxmlformats.org/spreadsheetml/2006/main" count="319" uniqueCount="127">
  <si>
    <t>Hand calculations, stream basis, mass/energy balance framework prepared by Mark Heien  |  Aspen V14 simulation results to be inserted in yellow cells by Aspen team member</t>
  </si>
  <si>
    <t>🟢 GREEN = Mark's hand calculations (final)     🟡 YELLOW = Insert Aspen result here     🔵 BLUE = Stoichiometric calculation (Gay-Lussac)</t>
  </si>
  <si>
    <t>Stream</t>
  </si>
  <si>
    <t>Description</t>
  </si>
  <si>
    <t>Source</t>
  </si>
  <si>
    <t>Phase</t>
  </si>
  <si>
    <t>T (°C)</t>
  </si>
  <si>
    <t>P (bar)</t>
  </si>
  <si>
    <t>Vapor
Frac</t>
  </si>
  <si>
    <t>Total Mass
(kg/h)</t>
  </si>
  <si>
    <t>Molar Flow
(kmol/h)</t>
  </si>
  <si>
    <t>Avg MW
(kg/kmol)</t>
  </si>
  <si>
    <t>Ethanol
(kg/h)</t>
  </si>
  <si>
    <t>Water
(kg/h)</t>
  </si>
  <si>
    <t>Glucose
(kg/h)</t>
  </si>
  <si>
    <t>Fructose
(kg/h)</t>
  </si>
  <si>
    <t>CO₂
(kg/h)</t>
  </si>
  <si>
    <t>Cellulose
(kg/h)</t>
  </si>
  <si>
    <t>Lignin
(kg/h)</t>
  </si>
  <si>
    <t>Ash
(kg/h)</t>
  </si>
  <si>
    <t>Enthalpy
(GJ/h)</t>
  </si>
  <si>
    <t>S-101</t>
  </si>
  <si>
    <t>Apple pomace (as-received)</t>
  </si>
  <si>
    <t>Mark — hand calc</t>
  </si>
  <si>
    <t>Solid/Liq</t>
  </si>
  <si>
    <t>—</t>
  </si>
  <si>
    <t>S-103</t>
  </si>
  <si>
    <t>Pretreatment steam</t>
  </si>
  <si>
    <t>Vapor</t>
  </si>
  <si>
    <t>S-107</t>
  </si>
  <si>
    <t>Enzyme solution</t>
  </si>
  <si>
    <t>Liquid</t>
  </si>
  <si>
    <t>S-109</t>
  </si>
  <si>
    <t>Yeast inoculum</t>
  </si>
  <si>
    <t>S-102</t>
  </si>
  <si>
    <t>Decomposed pomace — SR-201 out</t>
  </si>
  <si>
    <t>Aspen V14</t>
  </si>
  <si>
    <t>Mixed</t>
  </si>
  <si>
    <t>→ Aspen</t>
  </si>
  <si>
    <t>S-104</t>
  </si>
  <si>
    <t>Pretreated slurry — R-201 out</t>
  </si>
  <si>
    <t>Liq+Solid</t>
  </si>
  <si>
    <t>S-105</t>
  </si>
  <si>
    <t>Press cake — FI-201 solids</t>
  </si>
  <si>
    <t>Wet solid</t>
  </si>
  <si>
    <t>S-106</t>
  </si>
  <si>
    <t>Liquid hydrolysate — FI-201 out</t>
  </si>
  <si>
    <t>S-108</t>
  </si>
  <si>
    <t>Sugar hydrolysate — R-202 out</t>
  </si>
  <si>
    <t>S-110</t>
  </si>
  <si>
    <t>Fermentation broth — R-301 out</t>
  </si>
  <si>
    <t>Liq+Vap</t>
  </si>
  <si>
    <t>S-111</t>
  </si>
  <si>
    <t>CO₂ vent — fermentation off-gas</t>
  </si>
  <si>
    <t>Mark — stoich. calc</t>
  </si>
  <si>
    <t>S-112</t>
  </si>
  <si>
    <t>Degassed beer — V-301 out</t>
  </si>
  <si>
    <t>S-113</t>
  </si>
  <si>
    <t>Stillage / vinasse — T-401 btms</t>
  </si>
  <si>
    <t>S-114</t>
  </si>
  <si>
    <t>Crude ethanol vapor — T-401 top</t>
  </si>
  <si>
    <t>S-115</t>
  </si>
  <si>
    <t>Wastewater — T-402 bottoms</t>
  </si>
  <si>
    <t>S-116</t>
  </si>
  <si>
    <t>Near-azeotrope EtOH — T-402 top</t>
  </si>
  <si>
    <t>S-117</t>
  </si>
  <si>
    <t>Mol. sieve regen water — MS-401</t>
  </si>
  <si>
    <t>S-118</t>
  </si>
  <si>
    <t>Fuel ethanol product</t>
  </si>
  <si>
    <t>MASS BALANCE CLOSURE  |  Target ≤ 2%  |  Team Apple4</t>
  </si>
  <si>
    <t>Hand calculations by Mark Heien  |  Insert Aspen values in yellow cells after simulation</t>
  </si>
  <si>
    <t>Direction</t>
  </si>
  <si>
    <t>Mass Flow (kg/h)</t>
  </si>
  <si>
    <t>IN</t>
  </si>
  <si>
    <t>TOTAL IN</t>
  </si>
  <si>
    <t>Formula</t>
  </si>
  <si>
    <t>Press cake</t>
  </si>
  <si>
    <t>OUT</t>
  </si>
  <si>
    <t>CO₂ vent</t>
  </si>
  <si>
    <t>Stillage / vinasse</t>
  </si>
  <si>
    <t>Wastewater → WWT</t>
  </si>
  <si>
    <t>Mol. sieve regen water</t>
  </si>
  <si>
    <t>TOTAL OUT</t>
  </si>
  <si>
    <t>IMBALANCE</t>
  </si>
  <si>
    <t>IN − OUT</t>
  </si>
  <si>
    <t>CLOSURE %</t>
  </si>
  <si>
    <t>ABS(Imbalance/Total IN)×100</t>
  </si>
  <si>
    <t>STATUS</t>
  </si>
  <si>
    <t>ENERGY BALANCE CLOSURE  |  Target ≤ 5%  |  Team Apple4</t>
  </si>
  <si>
    <t>Hand calculations by Mark Heien  |  Insert Aspen reboiler/condenser duties in yellow cells</t>
  </si>
  <si>
    <t>Energy Stream</t>
  </si>
  <si>
    <t>Value (GJ/h)</t>
  </si>
  <si>
    <t>Basis</t>
  </si>
  <si>
    <t>Pomace HHV</t>
  </si>
  <si>
    <t>Chemical energy in feed</t>
  </si>
  <si>
    <t>5,440×0.75×17 MJ/kg÷3,600</t>
  </si>
  <si>
    <t>Steam enthalpy</t>
  </si>
  <si>
    <t>1,200×2,756 kJ/kg÷1e6</t>
  </si>
  <si>
    <t>T-401 reboiler</t>
  </si>
  <si>
    <t>Beer column reboiler duty</t>
  </si>
  <si>
    <t>Aspen RadFrac result</t>
  </si>
  <si>
    <t>T-402 reboiler</t>
  </si>
  <si>
    <t>Rectification reboiler duty</t>
  </si>
  <si>
    <t>TOTAL ENERGY IN</t>
  </si>
  <si>
    <t>Ethanol HHV</t>
  </si>
  <si>
    <t>941×26.8 MJ/kg÷3,600</t>
  </si>
  <si>
    <t>Press cake HHV</t>
  </si>
  <si>
    <t>Lignin-rich solid residue</t>
  </si>
  <si>
    <t>1,311×0.65×22 MJ/kg÷3,600</t>
  </si>
  <si>
    <t>Ferm. cooling</t>
  </si>
  <si>
    <t>Exothermic heat removed</t>
  </si>
  <si>
    <t>10.42 kmol/h×2×83.6 kJ/mol</t>
  </si>
  <si>
    <t>T-401 condenser</t>
  </si>
  <si>
    <t>Beer column condenser duty</t>
  </si>
  <si>
    <t>T-402 condenser</t>
  </si>
  <si>
    <t>Rect. column condenser duty</t>
  </si>
  <si>
    <t>Stillage heat</t>
  </si>
  <si>
    <t>Thermal energy in bottoms</t>
  </si>
  <si>
    <t>Aspen stream enthalpy</t>
  </si>
  <si>
    <t>Heat loss</t>
  </si>
  <si>
    <t>Closing / unmodeled term</t>
  </si>
  <si>
    <t>Difference</t>
  </si>
  <si>
    <t>TOTAL ENERGY OUT</t>
  </si>
  <si>
    <t>Thermal eff. %</t>
  </si>
  <si>
    <t>Ethanol HHV / Pomace HHV</t>
  </si>
  <si>
    <t>Expected 30–45%</t>
  </si>
  <si>
    <t>STREAM TABLE  |  Apple Pomace → Fuel Ethanol  |  Team Apple  |  CHEME 486 Report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</si>
</sst>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8"/>
      <color rgb="FF444444"/>
      <name val="Arial"/>
      <charset val="1"/>
    </font>
    <font>
      <sz val="8"/>
      <color rgb="FF333333"/>
      <name val="Arial"/>
      <charset val="1"/>
    </font>
    <font>
      <b/>
      <sz val="9"/>
      <color rgb="FFFFFFFF"/>
      <name val="Arial"/>
      <charset val="1"/>
    </font>
    <font>
      <b/>
      <sz val="9"/>
      <color rgb="FF276221"/>
      <name val="Arial"/>
      <charset val="1"/>
    </font>
    <font>
      <sz val="9"/>
      <color rgb="FF276221"/>
      <name val="Arial"/>
      <charset val="1"/>
    </font>
    <font>
      <b/>
      <sz val="9"/>
      <color rgb="FF7D4C00"/>
      <name val="Arial"/>
      <charset val="1"/>
    </font>
    <font>
      <sz val="9"/>
      <color rgb="FF7D4C00"/>
      <name val="Arial"/>
      <charset val="1"/>
    </font>
    <font>
      <sz val="9"/>
      <color rgb="FF000000"/>
      <name val="Arial"/>
      <charset val="1"/>
    </font>
    <font>
      <b/>
      <i/>
      <sz val="8"/>
      <color rgb="FF7D4C00"/>
      <name val="Arial"/>
      <charset val="1"/>
    </font>
    <font>
      <b/>
      <sz val="9"/>
      <color rgb="FF1F4E79"/>
      <name val="Arial"/>
      <charset val="1"/>
    </font>
    <font>
      <sz val="9"/>
      <color rgb="FF1F4E79"/>
      <name val="Arial"/>
      <charset val="1"/>
    </font>
    <font>
      <b/>
      <i/>
      <sz val="9"/>
      <color rgb="FF7D4C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EF2F7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C6EFCE"/>
        <bgColor rgb="FFBDD7EE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EEF2F7"/>
      </patternFill>
    </fill>
    <fill>
      <patternFill patternType="solid">
        <fgColor rgb="FFFFFFFF"/>
        <bgColor rgb="FFF5F5F5"/>
      </patternFill>
    </fill>
    <fill>
      <patternFill patternType="solid">
        <fgColor rgb="FFBDD7EE"/>
        <b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5F5"/>
      <rgbColor rgb="FFEEF2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444444"/>
      <rgbColor rgb="FF7D4C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10" sqref="G10"/>
    </sheetView>
  </sheetViews>
  <sheetFormatPr defaultColWidth="8.6328125" defaultRowHeight="14.5" x14ac:dyDescent="0.35"/>
  <cols>
    <col min="1" max="1" width="7" customWidth="1"/>
    <col min="2" max="2" width="26" customWidth="1"/>
    <col min="3" max="3" width="14" customWidth="1"/>
    <col min="4" max="4" width="12" customWidth="1"/>
    <col min="5" max="7" width="7" customWidth="1"/>
    <col min="8" max="8" width="12" customWidth="1"/>
    <col min="9" max="9" width="11" customWidth="1"/>
    <col min="10" max="10" width="10" customWidth="1"/>
    <col min="11" max="17" width="9" customWidth="1"/>
    <col min="18" max="18" width="7" customWidth="1"/>
    <col min="19" max="19" width="10" customWidth="1"/>
  </cols>
  <sheetData>
    <row r="1" spans="1:19" ht="21.75" customHeight="1" x14ac:dyDescent="0.35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3.5" customHeight="1" x14ac:dyDescent="0.3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3.5" customHeight="1" x14ac:dyDescent="0.3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1.5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spans="1:19" ht="21.75" customHeight="1" x14ac:dyDescent="0.35">
      <c r="A5" s="5" t="s">
        <v>21</v>
      </c>
      <c r="B5" s="6" t="s">
        <v>22</v>
      </c>
      <c r="C5" s="6" t="s">
        <v>23</v>
      </c>
      <c r="D5" s="7" t="s">
        <v>24</v>
      </c>
      <c r="E5" s="7">
        <v>25</v>
      </c>
      <c r="F5" s="7">
        <v>1.0129999999999999</v>
      </c>
      <c r="G5" s="7">
        <v>0</v>
      </c>
      <c r="H5" s="7">
        <v>5440</v>
      </c>
      <c r="I5" s="7" t="s">
        <v>25</v>
      </c>
      <c r="J5" s="7" t="s">
        <v>25</v>
      </c>
      <c r="K5" s="7">
        <v>0</v>
      </c>
      <c r="L5" s="7">
        <v>1360</v>
      </c>
      <c r="M5" s="7">
        <v>449</v>
      </c>
      <c r="N5" s="7">
        <v>816</v>
      </c>
      <c r="O5" s="7">
        <v>0</v>
      </c>
      <c r="P5" s="7">
        <v>940</v>
      </c>
      <c r="Q5" s="7">
        <v>858</v>
      </c>
      <c r="R5" s="7">
        <v>122</v>
      </c>
      <c r="S5" s="7">
        <v>19.3</v>
      </c>
    </row>
    <row r="6" spans="1:19" ht="21.75" customHeight="1" x14ac:dyDescent="0.35">
      <c r="A6" s="5" t="s">
        <v>26</v>
      </c>
      <c r="B6" s="6" t="s">
        <v>27</v>
      </c>
      <c r="C6" s="6" t="s">
        <v>23</v>
      </c>
      <c r="D6" s="7" t="s">
        <v>28</v>
      </c>
      <c r="E6" s="7">
        <v>160</v>
      </c>
      <c r="F6" s="7">
        <v>6.18</v>
      </c>
      <c r="G6" s="7">
        <v>1</v>
      </c>
      <c r="H6" s="7">
        <v>1200</v>
      </c>
      <c r="I6" s="7">
        <v>66.599999999999994</v>
      </c>
      <c r="J6" s="7">
        <v>18.02</v>
      </c>
      <c r="K6" s="7">
        <v>0</v>
      </c>
      <c r="L6" s="7">
        <v>1200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3.31</v>
      </c>
    </row>
    <row r="7" spans="1:19" ht="21.75" customHeight="1" x14ac:dyDescent="0.35">
      <c r="A7" s="5" t="s">
        <v>29</v>
      </c>
      <c r="B7" s="6" t="s">
        <v>30</v>
      </c>
      <c r="C7" s="6" t="s">
        <v>23</v>
      </c>
      <c r="D7" s="7" t="s">
        <v>31</v>
      </c>
      <c r="E7" s="7">
        <v>25</v>
      </c>
      <c r="F7" s="7">
        <v>1.0129999999999999</v>
      </c>
      <c r="G7" s="7">
        <v>0</v>
      </c>
      <c r="H7" s="7">
        <v>46</v>
      </c>
      <c r="I7" s="7">
        <v>2.6</v>
      </c>
      <c r="J7" s="7">
        <v>18.02</v>
      </c>
      <c r="K7" s="7">
        <v>0</v>
      </c>
      <c r="L7" s="7">
        <v>46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</row>
    <row r="8" spans="1:19" ht="21.75" customHeight="1" x14ac:dyDescent="0.35">
      <c r="A8" s="5" t="s">
        <v>32</v>
      </c>
      <c r="B8" s="6" t="s">
        <v>33</v>
      </c>
      <c r="C8" s="6" t="s">
        <v>23</v>
      </c>
      <c r="D8" s="7" t="s">
        <v>31</v>
      </c>
      <c r="E8" s="7">
        <v>30</v>
      </c>
      <c r="F8" s="7">
        <v>1.0129999999999999</v>
      </c>
      <c r="G8" s="7">
        <v>0</v>
      </c>
      <c r="H8" s="7">
        <v>2080</v>
      </c>
      <c r="I8" s="7">
        <v>115.6</v>
      </c>
      <c r="J8" s="7">
        <v>18.02</v>
      </c>
      <c r="K8" s="7">
        <v>0</v>
      </c>
      <c r="L8" s="7">
        <v>2080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spans="1:19" ht="21.75" customHeight="1" x14ac:dyDescent="0.35">
      <c r="A9" s="8" t="s">
        <v>34</v>
      </c>
      <c r="B9" s="9" t="s">
        <v>35</v>
      </c>
      <c r="C9" s="9" t="s">
        <v>36</v>
      </c>
      <c r="D9" s="10" t="s">
        <v>37</v>
      </c>
      <c r="E9" s="10">
        <v>25</v>
      </c>
      <c r="F9" s="10">
        <v>1.0129999999999999</v>
      </c>
      <c r="G9" s="10">
        <v>0</v>
      </c>
      <c r="H9" s="11" t="s">
        <v>38</v>
      </c>
      <c r="I9" s="11" t="s">
        <v>38</v>
      </c>
      <c r="J9" s="11" t="s">
        <v>38</v>
      </c>
      <c r="K9" s="10">
        <v>0</v>
      </c>
      <c r="L9" s="10">
        <v>1360</v>
      </c>
      <c r="M9" s="10">
        <v>449</v>
      </c>
      <c r="N9" s="10">
        <v>816</v>
      </c>
      <c r="O9" s="10">
        <v>0</v>
      </c>
      <c r="P9" s="10">
        <v>940</v>
      </c>
      <c r="Q9" s="10">
        <v>858</v>
      </c>
      <c r="R9" s="10">
        <v>122</v>
      </c>
      <c r="S9" s="11" t="s">
        <v>38</v>
      </c>
    </row>
    <row r="10" spans="1:19" ht="21.75" customHeight="1" x14ac:dyDescent="0.35">
      <c r="A10" s="8" t="s">
        <v>39</v>
      </c>
      <c r="B10" s="9" t="s">
        <v>40</v>
      </c>
      <c r="C10" s="9" t="s">
        <v>36</v>
      </c>
      <c r="D10" s="12" t="s">
        <v>41</v>
      </c>
      <c r="E10" s="12">
        <v>160</v>
      </c>
      <c r="F10" s="12">
        <v>6.18</v>
      </c>
      <c r="G10" s="11" t="s">
        <v>38</v>
      </c>
      <c r="H10" s="11" t="s">
        <v>38</v>
      </c>
      <c r="I10" s="11" t="s">
        <v>38</v>
      </c>
      <c r="J10" s="11" t="s">
        <v>38</v>
      </c>
      <c r="K10" s="12">
        <v>0</v>
      </c>
      <c r="L10" s="11" t="s">
        <v>38</v>
      </c>
      <c r="M10" s="11" t="s">
        <v>38</v>
      </c>
      <c r="N10" s="11" t="s">
        <v>38</v>
      </c>
      <c r="O10" s="12">
        <v>0</v>
      </c>
      <c r="P10" s="11" t="s">
        <v>38</v>
      </c>
      <c r="Q10" s="11" t="s">
        <v>38</v>
      </c>
      <c r="R10" s="11" t="s">
        <v>38</v>
      </c>
      <c r="S10" s="11" t="s">
        <v>38</v>
      </c>
    </row>
    <row r="11" spans="1:19" ht="21.75" customHeight="1" x14ac:dyDescent="0.35">
      <c r="A11" s="5" t="s">
        <v>42</v>
      </c>
      <c r="B11" s="6" t="s">
        <v>43</v>
      </c>
      <c r="C11" s="6" t="s">
        <v>23</v>
      </c>
      <c r="D11" s="7" t="s">
        <v>44</v>
      </c>
      <c r="E11" s="7">
        <v>40</v>
      </c>
      <c r="F11" s="7">
        <v>1.0129999999999999</v>
      </c>
      <c r="G11" s="7">
        <v>0</v>
      </c>
      <c r="H11" s="7">
        <v>1594</v>
      </c>
      <c r="I11" s="7" t="s">
        <v>25</v>
      </c>
      <c r="J11" s="7" t="s">
        <v>25</v>
      </c>
      <c r="K11" s="7">
        <v>0</v>
      </c>
      <c r="L11" s="7">
        <v>203</v>
      </c>
      <c r="M11" s="7">
        <v>13</v>
      </c>
      <c r="N11" s="7">
        <v>16</v>
      </c>
      <c r="O11" s="7">
        <v>0</v>
      </c>
      <c r="P11" s="7">
        <v>75</v>
      </c>
      <c r="Q11" s="7">
        <v>858</v>
      </c>
      <c r="R11" s="7">
        <v>122</v>
      </c>
      <c r="S11" s="7">
        <v>6.3</v>
      </c>
    </row>
    <row r="12" spans="1:19" ht="21.75" customHeight="1" x14ac:dyDescent="0.35">
      <c r="A12" s="8" t="s">
        <v>45</v>
      </c>
      <c r="B12" s="9" t="s">
        <v>46</v>
      </c>
      <c r="C12" s="9" t="s">
        <v>36</v>
      </c>
      <c r="D12" s="12" t="s">
        <v>31</v>
      </c>
      <c r="E12" s="12">
        <v>40</v>
      </c>
      <c r="F12" s="12">
        <v>1.0129999999999999</v>
      </c>
      <c r="G12" s="12">
        <v>0</v>
      </c>
      <c r="H12" s="11" t="s">
        <v>38</v>
      </c>
      <c r="I12" s="11" t="s">
        <v>38</v>
      </c>
      <c r="J12" s="11" t="s">
        <v>38</v>
      </c>
      <c r="K12" s="12">
        <v>0</v>
      </c>
      <c r="L12" s="11" t="s">
        <v>38</v>
      </c>
      <c r="M12" s="11" t="s">
        <v>38</v>
      </c>
      <c r="N12" s="11" t="s">
        <v>38</v>
      </c>
      <c r="O12" s="12">
        <v>0</v>
      </c>
      <c r="P12" s="11" t="s">
        <v>38</v>
      </c>
      <c r="Q12" s="12">
        <v>0</v>
      </c>
      <c r="R12" s="12">
        <v>0</v>
      </c>
      <c r="S12" s="11" t="s">
        <v>38</v>
      </c>
    </row>
    <row r="13" spans="1:19" ht="21.75" customHeight="1" x14ac:dyDescent="0.35">
      <c r="A13" s="8" t="s">
        <v>47</v>
      </c>
      <c r="B13" s="9" t="s">
        <v>48</v>
      </c>
      <c r="C13" s="9" t="s">
        <v>36</v>
      </c>
      <c r="D13" s="10" t="s">
        <v>31</v>
      </c>
      <c r="E13" s="10">
        <v>50</v>
      </c>
      <c r="F13" s="10">
        <v>1.0129999999999999</v>
      </c>
      <c r="G13" s="10">
        <v>0</v>
      </c>
      <c r="H13" s="11" t="s">
        <v>38</v>
      </c>
      <c r="I13" s="11" t="s">
        <v>38</v>
      </c>
      <c r="J13" s="11" t="s">
        <v>38</v>
      </c>
      <c r="K13" s="10">
        <v>0</v>
      </c>
      <c r="L13" s="11" t="s">
        <v>38</v>
      </c>
      <c r="M13" s="11" t="s">
        <v>38</v>
      </c>
      <c r="N13" s="11" t="s">
        <v>38</v>
      </c>
      <c r="O13" s="10">
        <v>0</v>
      </c>
      <c r="P13" s="10">
        <v>0</v>
      </c>
      <c r="Q13" s="10">
        <v>0</v>
      </c>
      <c r="R13" s="10">
        <v>0</v>
      </c>
      <c r="S13" s="11" t="s">
        <v>38</v>
      </c>
    </row>
    <row r="14" spans="1:19" ht="21.75" customHeight="1" x14ac:dyDescent="0.35">
      <c r="A14" s="8" t="s">
        <v>49</v>
      </c>
      <c r="B14" s="9" t="s">
        <v>50</v>
      </c>
      <c r="C14" s="9" t="s">
        <v>36</v>
      </c>
      <c r="D14" s="12" t="s">
        <v>51</v>
      </c>
      <c r="E14" s="12">
        <v>32</v>
      </c>
      <c r="F14" s="12">
        <v>1.0129999999999999</v>
      </c>
      <c r="G14" s="11" t="s">
        <v>38</v>
      </c>
      <c r="H14" s="11" t="s">
        <v>38</v>
      </c>
      <c r="I14" s="11" t="s">
        <v>38</v>
      </c>
      <c r="J14" s="11" t="s">
        <v>38</v>
      </c>
      <c r="K14" s="11" t="s">
        <v>38</v>
      </c>
      <c r="L14" s="11" t="s">
        <v>38</v>
      </c>
      <c r="M14" s="12">
        <v>0</v>
      </c>
      <c r="N14" s="12">
        <v>0</v>
      </c>
      <c r="O14" s="11" t="s">
        <v>38</v>
      </c>
      <c r="P14" s="12">
        <v>0</v>
      </c>
      <c r="Q14" s="12">
        <v>0</v>
      </c>
      <c r="R14" s="12">
        <v>0</v>
      </c>
      <c r="S14" s="11" t="s">
        <v>38</v>
      </c>
    </row>
    <row r="15" spans="1:19" ht="21.75" customHeight="1" x14ac:dyDescent="0.35">
      <c r="A15" s="13" t="s">
        <v>52</v>
      </c>
      <c r="B15" s="14" t="s">
        <v>53</v>
      </c>
      <c r="C15" s="14" t="s">
        <v>54</v>
      </c>
      <c r="D15" s="15" t="s">
        <v>28</v>
      </c>
      <c r="E15" s="15">
        <v>32</v>
      </c>
      <c r="F15" s="15">
        <v>1.0129999999999999</v>
      </c>
      <c r="G15" s="15">
        <v>1</v>
      </c>
      <c r="H15" s="15">
        <v>917</v>
      </c>
      <c r="I15" s="15">
        <v>20.84</v>
      </c>
      <c r="J15" s="15">
        <v>44.01</v>
      </c>
      <c r="K15" s="15">
        <v>0</v>
      </c>
      <c r="L15" s="15">
        <v>0</v>
      </c>
      <c r="M15" s="15">
        <v>0</v>
      </c>
      <c r="N15" s="15">
        <v>0</v>
      </c>
      <c r="O15" s="15">
        <v>917</v>
      </c>
      <c r="P15" s="15">
        <v>0</v>
      </c>
      <c r="Q15" s="15">
        <v>0</v>
      </c>
      <c r="R15" s="15">
        <v>0</v>
      </c>
      <c r="S15" s="15">
        <v>0.01</v>
      </c>
    </row>
    <row r="16" spans="1:19" ht="21.75" customHeight="1" x14ac:dyDescent="0.35">
      <c r="A16" s="8" t="s">
        <v>55</v>
      </c>
      <c r="B16" s="9" t="s">
        <v>56</v>
      </c>
      <c r="C16" s="9" t="s">
        <v>36</v>
      </c>
      <c r="D16" s="12" t="s">
        <v>31</v>
      </c>
      <c r="E16" s="12">
        <v>32</v>
      </c>
      <c r="F16" s="12">
        <v>1.0129999999999999</v>
      </c>
      <c r="G16" s="12">
        <v>0</v>
      </c>
      <c r="H16" s="11" t="s">
        <v>38</v>
      </c>
      <c r="I16" s="11" t="s">
        <v>38</v>
      </c>
      <c r="J16" s="11" t="s">
        <v>38</v>
      </c>
      <c r="K16" s="11" t="s">
        <v>38</v>
      </c>
      <c r="L16" s="11" t="s">
        <v>38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1" t="s">
        <v>38</v>
      </c>
    </row>
    <row r="17" spans="1:19" ht="21.75" customHeight="1" x14ac:dyDescent="0.35">
      <c r="A17" s="8" t="s">
        <v>57</v>
      </c>
      <c r="B17" s="9" t="s">
        <v>58</v>
      </c>
      <c r="C17" s="9" t="s">
        <v>36</v>
      </c>
      <c r="D17" s="10" t="s">
        <v>31</v>
      </c>
      <c r="E17" s="11" t="s">
        <v>38</v>
      </c>
      <c r="F17" s="10">
        <v>1.0129999999999999</v>
      </c>
      <c r="G17" s="10">
        <v>0</v>
      </c>
      <c r="H17" s="11" t="s">
        <v>38</v>
      </c>
      <c r="I17" s="11" t="s">
        <v>38</v>
      </c>
      <c r="J17" s="11" t="s">
        <v>38</v>
      </c>
      <c r="K17" s="11" t="s">
        <v>38</v>
      </c>
      <c r="L17" s="11" t="s">
        <v>38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1" t="s">
        <v>38</v>
      </c>
    </row>
    <row r="18" spans="1:19" ht="21.75" customHeight="1" x14ac:dyDescent="0.35">
      <c r="A18" s="8" t="s">
        <v>59</v>
      </c>
      <c r="B18" s="9" t="s">
        <v>60</v>
      </c>
      <c r="C18" s="9" t="s">
        <v>36</v>
      </c>
      <c r="D18" s="12" t="s">
        <v>28</v>
      </c>
      <c r="E18" s="11" t="s">
        <v>38</v>
      </c>
      <c r="F18" s="11" t="s">
        <v>38</v>
      </c>
      <c r="G18" s="12">
        <v>1</v>
      </c>
      <c r="H18" s="11" t="s">
        <v>38</v>
      </c>
      <c r="I18" s="11" t="s">
        <v>38</v>
      </c>
      <c r="J18" s="11" t="s">
        <v>38</v>
      </c>
      <c r="K18" s="11" t="s">
        <v>38</v>
      </c>
      <c r="L18" s="11" t="s">
        <v>38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1" t="s">
        <v>38</v>
      </c>
    </row>
    <row r="19" spans="1:19" ht="21.75" customHeight="1" x14ac:dyDescent="0.35">
      <c r="A19" s="8" t="s">
        <v>61</v>
      </c>
      <c r="B19" s="9" t="s">
        <v>62</v>
      </c>
      <c r="C19" s="9" t="s">
        <v>36</v>
      </c>
      <c r="D19" s="10" t="s">
        <v>31</v>
      </c>
      <c r="E19" s="11" t="s">
        <v>38</v>
      </c>
      <c r="F19" s="10">
        <v>1.0129999999999999</v>
      </c>
      <c r="G19" s="10">
        <v>0</v>
      </c>
      <c r="H19" s="11" t="s">
        <v>38</v>
      </c>
      <c r="I19" s="11" t="s">
        <v>38</v>
      </c>
      <c r="J19" s="11" t="s">
        <v>38</v>
      </c>
      <c r="K19" s="11" t="s">
        <v>38</v>
      </c>
      <c r="L19" s="11" t="s">
        <v>38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1" t="s">
        <v>38</v>
      </c>
    </row>
    <row r="20" spans="1:19" ht="21.75" customHeight="1" x14ac:dyDescent="0.35">
      <c r="A20" s="8" t="s">
        <v>63</v>
      </c>
      <c r="B20" s="9" t="s">
        <v>64</v>
      </c>
      <c r="C20" s="9" t="s">
        <v>36</v>
      </c>
      <c r="D20" s="12" t="s">
        <v>31</v>
      </c>
      <c r="E20" s="11" t="s">
        <v>38</v>
      </c>
      <c r="F20" s="12">
        <v>1.0129999999999999</v>
      </c>
      <c r="G20" s="12">
        <v>0</v>
      </c>
      <c r="H20" s="11" t="s">
        <v>38</v>
      </c>
      <c r="I20" s="11" t="s">
        <v>38</v>
      </c>
      <c r="J20" s="11" t="s">
        <v>38</v>
      </c>
      <c r="K20" s="11" t="s">
        <v>38</v>
      </c>
      <c r="L20" s="11" t="s">
        <v>38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1" t="s">
        <v>38</v>
      </c>
    </row>
    <row r="21" spans="1:19" ht="21.75" customHeight="1" x14ac:dyDescent="0.35">
      <c r="A21" s="5" t="s">
        <v>65</v>
      </c>
      <c r="B21" s="6" t="s">
        <v>66</v>
      </c>
      <c r="C21" s="6" t="s">
        <v>23</v>
      </c>
      <c r="D21" s="7" t="s">
        <v>31</v>
      </c>
      <c r="E21" s="7">
        <v>100</v>
      </c>
      <c r="F21" s="7">
        <v>1.0129999999999999</v>
      </c>
      <c r="G21" s="7">
        <v>0</v>
      </c>
      <c r="H21" s="7">
        <v>33</v>
      </c>
      <c r="I21" s="7">
        <v>1.8</v>
      </c>
      <c r="J21" s="7">
        <v>18.02</v>
      </c>
      <c r="K21" s="7">
        <v>1</v>
      </c>
      <c r="L21" s="7">
        <v>32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</row>
    <row r="22" spans="1:19" ht="21.75" customHeight="1" x14ac:dyDescent="0.35">
      <c r="A22" s="5" t="s">
        <v>67</v>
      </c>
      <c r="B22" s="6" t="s">
        <v>68</v>
      </c>
      <c r="C22" s="6" t="s">
        <v>23</v>
      </c>
      <c r="D22" s="7" t="s">
        <v>31</v>
      </c>
      <c r="E22" s="7">
        <v>25</v>
      </c>
      <c r="F22" s="7">
        <v>1.0129999999999999</v>
      </c>
      <c r="G22" s="7">
        <v>0</v>
      </c>
      <c r="H22" s="7">
        <v>941</v>
      </c>
      <c r="I22" s="7">
        <v>20.399999999999999</v>
      </c>
      <c r="J22" s="7">
        <v>46.1</v>
      </c>
      <c r="K22" s="7">
        <v>939</v>
      </c>
      <c r="L22" s="7">
        <v>2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7.01</v>
      </c>
    </row>
  </sheetData>
  <mergeCells count="3">
    <mergeCell ref="A1:S1"/>
    <mergeCell ref="A2:S2"/>
    <mergeCell ref="A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10" customWidth="1"/>
    <col min="2" max="2" width="36" customWidth="1"/>
    <col min="3" max="3" width="12" customWidth="1"/>
    <col min="4" max="4" width="18" customWidth="1"/>
    <col min="5" max="5" width="22" customWidth="1"/>
  </cols>
  <sheetData>
    <row r="1" spans="1:5" ht="21.75" customHeight="1" x14ac:dyDescent="0.35">
      <c r="A1" s="3" t="s">
        <v>69</v>
      </c>
      <c r="B1" s="3"/>
      <c r="C1" s="3"/>
      <c r="D1" s="3"/>
      <c r="E1" s="3"/>
    </row>
    <row r="2" spans="1:5" ht="13.5" customHeight="1" x14ac:dyDescent="0.35">
      <c r="A2" s="2" t="s">
        <v>70</v>
      </c>
      <c r="B2" s="2"/>
      <c r="C2" s="2"/>
      <c r="D2" s="2"/>
      <c r="E2" s="2"/>
    </row>
    <row r="3" spans="1:5" ht="21.75" customHeight="1" x14ac:dyDescent="0.35">
      <c r="A3" s="4" t="s">
        <v>2</v>
      </c>
      <c r="B3" s="4" t="s">
        <v>3</v>
      </c>
      <c r="C3" s="4" t="s">
        <v>71</v>
      </c>
      <c r="D3" s="4" t="s">
        <v>72</v>
      </c>
      <c r="E3" s="4" t="s">
        <v>4</v>
      </c>
    </row>
    <row r="4" spans="1:5" ht="19.5" customHeight="1" x14ac:dyDescent="0.35">
      <c r="A4" s="7" t="s">
        <v>21</v>
      </c>
      <c r="B4" s="6" t="s">
        <v>22</v>
      </c>
      <c r="C4" s="7" t="s">
        <v>73</v>
      </c>
      <c r="D4" s="7">
        <v>5440</v>
      </c>
      <c r="E4" s="7" t="s">
        <v>23</v>
      </c>
    </row>
    <row r="5" spans="1:5" ht="19.5" customHeight="1" x14ac:dyDescent="0.35">
      <c r="A5" s="7" t="s">
        <v>26</v>
      </c>
      <c r="B5" s="6" t="s">
        <v>27</v>
      </c>
      <c r="C5" s="7" t="s">
        <v>73</v>
      </c>
      <c r="D5" s="7">
        <v>1200</v>
      </c>
      <c r="E5" s="7" t="s">
        <v>23</v>
      </c>
    </row>
    <row r="6" spans="1:5" ht="19.5" customHeight="1" x14ac:dyDescent="0.35">
      <c r="A6" s="7" t="s">
        <v>29</v>
      </c>
      <c r="B6" s="6" t="s">
        <v>30</v>
      </c>
      <c r="C6" s="7" t="s">
        <v>73</v>
      </c>
      <c r="D6" s="7">
        <v>46</v>
      </c>
      <c r="E6" s="7" t="s">
        <v>23</v>
      </c>
    </row>
    <row r="7" spans="1:5" ht="19.5" customHeight="1" x14ac:dyDescent="0.35">
      <c r="A7" s="7" t="s">
        <v>32</v>
      </c>
      <c r="B7" s="6" t="s">
        <v>33</v>
      </c>
      <c r="C7" s="7" t="s">
        <v>73</v>
      </c>
      <c r="D7" s="7">
        <v>2080</v>
      </c>
      <c r="E7" s="7" t="s">
        <v>23</v>
      </c>
    </row>
    <row r="8" spans="1:5" ht="19.5" customHeight="1" x14ac:dyDescent="0.35">
      <c r="A8" s="4" t="s">
        <v>74</v>
      </c>
      <c r="B8" s="16"/>
      <c r="C8" s="4" t="s">
        <v>73</v>
      </c>
      <c r="D8" s="4">
        <f>D4+D5+D6+D7</f>
        <v>8766</v>
      </c>
      <c r="E8" s="4" t="s">
        <v>75</v>
      </c>
    </row>
    <row r="9" spans="1:5" ht="19.5" customHeight="1" x14ac:dyDescent="0.35">
      <c r="A9" s="12"/>
      <c r="B9" s="17"/>
      <c r="C9" s="12"/>
      <c r="D9" s="12"/>
      <c r="E9" s="12"/>
    </row>
    <row r="10" spans="1:5" ht="19.5" customHeight="1" x14ac:dyDescent="0.35">
      <c r="A10" s="7" t="s">
        <v>42</v>
      </c>
      <c r="B10" s="6" t="s">
        <v>76</v>
      </c>
      <c r="C10" s="7" t="s">
        <v>77</v>
      </c>
      <c r="D10" s="7">
        <v>1594</v>
      </c>
      <c r="E10" s="7" t="s">
        <v>23</v>
      </c>
    </row>
    <row r="11" spans="1:5" ht="19.5" customHeight="1" x14ac:dyDescent="0.35">
      <c r="A11" s="15" t="s">
        <v>52</v>
      </c>
      <c r="B11" s="14" t="s">
        <v>78</v>
      </c>
      <c r="C11" s="15" t="s">
        <v>77</v>
      </c>
      <c r="D11" s="15">
        <v>917</v>
      </c>
      <c r="E11" s="15" t="s">
        <v>54</v>
      </c>
    </row>
    <row r="12" spans="1:5" ht="19.5" customHeight="1" x14ac:dyDescent="0.35">
      <c r="A12" s="18" t="s">
        <v>57</v>
      </c>
      <c r="B12" s="19" t="s">
        <v>79</v>
      </c>
      <c r="C12" s="18" t="s">
        <v>77</v>
      </c>
      <c r="D12" s="18" t="s">
        <v>38</v>
      </c>
      <c r="E12" s="18" t="s">
        <v>36</v>
      </c>
    </row>
    <row r="13" spans="1:5" ht="19.5" customHeight="1" x14ac:dyDescent="0.35">
      <c r="A13" s="18" t="s">
        <v>61</v>
      </c>
      <c r="B13" s="19" t="s">
        <v>80</v>
      </c>
      <c r="C13" s="18" t="s">
        <v>77</v>
      </c>
      <c r="D13" s="18" t="s">
        <v>38</v>
      </c>
      <c r="E13" s="18" t="s">
        <v>36</v>
      </c>
    </row>
    <row r="14" spans="1:5" ht="19.5" customHeight="1" x14ac:dyDescent="0.35">
      <c r="A14" s="7" t="s">
        <v>65</v>
      </c>
      <c r="B14" s="6" t="s">
        <v>81</v>
      </c>
      <c r="C14" s="7" t="s">
        <v>77</v>
      </c>
      <c r="D14" s="7">
        <v>33</v>
      </c>
      <c r="E14" s="7" t="s">
        <v>23</v>
      </c>
    </row>
    <row r="15" spans="1:5" ht="19.5" customHeight="1" x14ac:dyDescent="0.35">
      <c r="A15" s="7" t="s">
        <v>67</v>
      </c>
      <c r="B15" s="6" t="s">
        <v>68</v>
      </c>
      <c r="C15" s="7" t="s">
        <v>77</v>
      </c>
      <c r="D15" s="7">
        <v>941</v>
      </c>
      <c r="E15" s="7" t="s">
        <v>23</v>
      </c>
    </row>
    <row r="16" spans="1:5" ht="19.5" customHeight="1" x14ac:dyDescent="0.35">
      <c r="A16" s="4" t="s">
        <v>82</v>
      </c>
      <c r="B16" s="16"/>
      <c r="C16" s="4" t="s">
        <v>77</v>
      </c>
      <c r="D16" s="4">
        <f>D10+D11+IF(ISNUMBER(D12),D12,0)+IF(ISNUMBER(D13),D13,0)+D14+D15</f>
        <v>3485</v>
      </c>
      <c r="E16" s="4" t="s">
        <v>75</v>
      </c>
    </row>
    <row r="17" spans="1:5" ht="19.5" customHeight="1" x14ac:dyDescent="0.35">
      <c r="A17" s="12"/>
      <c r="B17" s="17"/>
      <c r="C17" s="12"/>
      <c r="D17" s="12"/>
      <c r="E17" s="12"/>
    </row>
    <row r="18" spans="1:5" ht="19.5" customHeight="1" x14ac:dyDescent="0.35">
      <c r="A18" s="4" t="s">
        <v>83</v>
      </c>
      <c r="B18" s="16" t="s">
        <v>84</v>
      </c>
      <c r="C18" s="4" t="s">
        <v>25</v>
      </c>
      <c r="D18" s="4">
        <f>IFERROR(D8-D16,"Update Aspen cells")</f>
        <v>5281</v>
      </c>
      <c r="E18" s="4"/>
    </row>
    <row r="19" spans="1:5" ht="19.5" customHeight="1" x14ac:dyDescent="0.35">
      <c r="A19" s="4" t="s">
        <v>85</v>
      </c>
      <c r="B19" s="16" t="s">
        <v>86</v>
      </c>
      <c r="C19" s="4" t="s">
        <v>25</v>
      </c>
      <c r="D19" s="4">
        <f>IFERROR(ABS(D18/D8)*100,"Update Aspen cells")</f>
        <v>60.244125028519278</v>
      </c>
      <c r="E19" s="4"/>
    </row>
    <row r="20" spans="1:5" ht="19.5" customHeight="1" x14ac:dyDescent="0.35">
      <c r="A20" s="4" t="s">
        <v>87</v>
      </c>
      <c r="B20" s="16"/>
      <c r="C20" s="4" t="s">
        <v>25</v>
      </c>
      <c r="D20" s="4" t="str">
        <f>IFERROR(IF(D19&lt;=2,"✅ PASS — within 2%","❌ FAIL — check model"),"⏳ Awaiting Aspen")</f>
        <v>❌ FAIL — check model</v>
      </c>
      <c r="E20" s="4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tabSelected="1" zoomScaleNormal="100" workbookViewId="0">
      <selection sqref="A1:F1"/>
    </sheetView>
  </sheetViews>
  <sheetFormatPr defaultColWidth="8.6328125" defaultRowHeight="14.5" x14ac:dyDescent="0.35"/>
  <cols>
    <col min="1" max="1" width="22" customWidth="1"/>
    <col min="2" max="2" width="26" customWidth="1"/>
    <col min="3" max="3" width="10" customWidth="1"/>
    <col min="4" max="4" width="14" customWidth="1"/>
    <col min="5" max="5" width="26" customWidth="1"/>
    <col min="6" max="6" width="22" customWidth="1"/>
  </cols>
  <sheetData>
    <row r="1" spans="1:6" ht="21.75" customHeight="1" x14ac:dyDescent="0.35">
      <c r="A1" s="3" t="s">
        <v>88</v>
      </c>
      <c r="B1" s="3"/>
      <c r="C1" s="3"/>
      <c r="D1" s="3"/>
      <c r="E1" s="3"/>
      <c r="F1" s="3"/>
    </row>
    <row r="2" spans="1:6" ht="13.5" customHeight="1" x14ac:dyDescent="0.35">
      <c r="A2" s="2" t="s">
        <v>89</v>
      </c>
      <c r="B2" s="2"/>
      <c r="C2" s="2"/>
      <c r="D2" s="2"/>
      <c r="E2" s="2"/>
      <c r="F2" s="2"/>
    </row>
    <row r="3" spans="1:6" ht="21.75" customHeight="1" x14ac:dyDescent="0.35">
      <c r="A3" s="4" t="s">
        <v>90</v>
      </c>
      <c r="B3" s="4" t="s">
        <v>3</v>
      </c>
      <c r="C3" s="4" t="s">
        <v>71</v>
      </c>
      <c r="D3" s="4" t="s">
        <v>91</v>
      </c>
      <c r="E3" s="4" t="s">
        <v>92</v>
      </c>
      <c r="F3" s="4" t="s">
        <v>4</v>
      </c>
    </row>
    <row r="4" spans="1:6" ht="19.5" customHeight="1" x14ac:dyDescent="0.35">
      <c r="A4" s="7" t="s">
        <v>93</v>
      </c>
      <c r="B4" s="6" t="s">
        <v>94</v>
      </c>
      <c r="C4" s="7" t="s">
        <v>73</v>
      </c>
      <c r="D4" s="7">
        <v>19.3</v>
      </c>
      <c r="E4" s="6" t="s">
        <v>95</v>
      </c>
      <c r="F4" s="7" t="s">
        <v>23</v>
      </c>
    </row>
    <row r="5" spans="1:6" ht="19.5" customHeight="1" x14ac:dyDescent="0.35">
      <c r="A5" s="7" t="s">
        <v>96</v>
      </c>
      <c r="B5" s="6" t="s">
        <v>27</v>
      </c>
      <c r="C5" s="7" t="s">
        <v>73</v>
      </c>
      <c r="D5" s="7">
        <v>3.31</v>
      </c>
      <c r="E5" s="6" t="s">
        <v>97</v>
      </c>
      <c r="F5" s="7" t="s">
        <v>23</v>
      </c>
    </row>
    <row r="6" spans="1:6" ht="19.5" customHeight="1" x14ac:dyDescent="0.35">
      <c r="A6" s="18" t="s">
        <v>98</v>
      </c>
      <c r="B6" s="19" t="s">
        <v>99</v>
      </c>
      <c r="C6" s="18" t="s">
        <v>73</v>
      </c>
      <c r="D6" s="18" t="s">
        <v>38</v>
      </c>
      <c r="E6" s="19" t="s">
        <v>100</v>
      </c>
      <c r="F6" s="18" t="s">
        <v>36</v>
      </c>
    </row>
    <row r="7" spans="1:6" ht="19.5" customHeight="1" x14ac:dyDescent="0.35">
      <c r="A7" s="18" t="s">
        <v>101</v>
      </c>
      <c r="B7" s="19" t="s">
        <v>102</v>
      </c>
      <c r="C7" s="18" t="s">
        <v>73</v>
      </c>
      <c r="D7" s="18" t="s">
        <v>38</v>
      </c>
      <c r="E7" s="19" t="s">
        <v>100</v>
      </c>
      <c r="F7" s="18" t="s">
        <v>36</v>
      </c>
    </row>
    <row r="8" spans="1:6" ht="19.5" customHeight="1" x14ac:dyDescent="0.35">
      <c r="A8" s="4" t="s">
        <v>103</v>
      </c>
      <c r="B8" s="16"/>
      <c r="C8" s="4" t="s">
        <v>73</v>
      </c>
      <c r="D8" s="4">
        <f>D4+D5+IF(ISNUMBER(D6),D6,0)+IF(ISNUMBER(D7),D7,0)</f>
        <v>22.61</v>
      </c>
      <c r="E8" s="16"/>
      <c r="F8" s="4" t="s">
        <v>75</v>
      </c>
    </row>
    <row r="9" spans="1:6" ht="19.5" customHeight="1" x14ac:dyDescent="0.35">
      <c r="A9" s="12"/>
      <c r="B9" s="17"/>
      <c r="C9" s="12"/>
      <c r="D9" s="12"/>
      <c r="E9" s="17"/>
      <c r="F9" s="12"/>
    </row>
    <row r="10" spans="1:6" ht="19.5" customHeight="1" x14ac:dyDescent="0.35">
      <c r="A10" s="7" t="s">
        <v>104</v>
      </c>
      <c r="B10" s="6" t="s">
        <v>68</v>
      </c>
      <c r="C10" s="7" t="s">
        <v>77</v>
      </c>
      <c r="D10" s="7">
        <v>7.01</v>
      </c>
      <c r="E10" s="6" t="s">
        <v>105</v>
      </c>
      <c r="F10" s="7" t="s">
        <v>23</v>
      </c>
    </row>
    <row r="11" spans="1:6" ht="19.5" customHeight="1" x14ac:dyDescent="0.35">
      <c r="A11" s="7" t="s">
        <v>106</v>
      </c>
      <c r="B11" s="6" t="s">
        <v>107</v>
      </c>
      <c r="C11" s="7" t="s">
        <v>77</v>
      </c>
      <c r="D11" s="7">
        <v>6.3</v>
      </c>
      <c r="E11" s="6" t="s">
        <v>108</v>
      </c>
      <c r="F11" s="7" t="s">
        <v>23</v>
      </c>
    </row>
    <row r="12" spans="1:6" ht="19.5" customHeight="1" x14ac:dyDescent="0.35">
      <c r="A12" s="15" t="s">
        <v>109</v>
      </c>
      <c r="B12" s="14" t="s">
        <v>110</v>
      </c>
      <c r="C12" s="15" t="s">
        <v>77</v>
      </c>
      <c r="D12" s="15">
        <v>1.74</v>
      </c>
      <c r="E12" s="14" t="s">
        <v>111</v>
      </c>
      <c r="F12" s="15" t="s">
        <v>54</v>
      </c>
    </row>
    <row r="13" spans="1:6" ht="19.5" customHeight="1" x14ac:dyDescent="0.35">
      <c r="A13" s="18" t="s">
        <v>112</v>
      </c>
      <c r="B13" s="19" t="s">
        <v>113</v>
      </c>
      <c r="C13" s="18" t="s">
        <v>77</v>
      </c>
      <c r="D13" s="18" t="s">
        <v>38</v>
      </c>
      <c r="E13" s="19" t="s">
        <v>100</v>
      </c>
      <c r="F13" s="18" t="s">
        <v>36</v>
      </c>
    </row>
    <row r="14" spans="1:6" ht="19.5" customHeight="1" x14ac:dyDescent="0.35">
      <c r="A14" s="18" t="s">
        <v>114</v>
      </c>
      <c r="B14" s="19" t="s">
        <v>115</v>
      </c>
      <c r="C14" s="18" t="s">
        <v>77</v>
      </c>
      <c r="D14" s="18" t="s">
        <v>38</v>
      </c>
      <c r="E14" s="19" t="s">
        <v>100</v>
      </c>
      <c r="F14" s="18" t="s">
        <v>36</v>
      </c>
    </row>
    <row r="15" spans="1:6" ht="19.5" customHeight="1" x14ac:dyDescent="0.35">
      <c r="A15" s="18" t="s">
        <v>116</v>
      </c>
      <c r="B15" s="19" t="s">
        <v>117</v>
      </c>
      <c r="C15" s="18" t="s">
        <v>77</v>
      </c>
      <c r="D15" s="18" t="s">
        <v>38</v>
      </c>
      <c r="E15" s="19" t="s">
        <v>118</v>
      </c>
      <c r="F15" s="18" t="s">
        <v>36</v>
      </c>
    </row>
    <row r="16" spans="1:6" ht="19.5" customHeight="1" x14ac:dyDescent="0.35">
      <c r="A16" s="20" t="s">
        <v>119</v>
      </c>
      <c r="B16" s="21" t="s">
        <v>120</v>
      </c>
      <c r="C16" s="20" t="s">
        <v>77</v>
      </c>
      <c r="D16" s="20">
        <f>IFERROR(D8-(D10+D11+D12+IF(ISNUMBER(D13),D13,0)+IF(ISNUMBER(D14),D14,0)+IF(ISNUMBER(D15),D15,0)),"Update Aspen")</f>
        <v>7.5600000000000005</v>
      </c>
      <c r="E16" s="21" t="s">
        <v>121</v>
      </c>
      <c r="F16" s="20"/>
    </row>
    <row r="17" spans="1:6" ht="19.5" customHeight="1" x14ac:dyDescent="0.35">
      <c r="A17" s="4" t="s">
        <v>122</v>
      </c>
      <c r="B17" s="16"/>
      <c r="C17" s="4" t="s">
        <v>77</v>
      </c>
      <c r="D17" s="4">
        <f>D10+D11+D12+IF(ISNUMBER(D13),D13,0)+IF(ISNUMBER(D14),D14,0)+IF(ISNUMBER(D15),D15,0)+D16</f>
        <v>22.61</v>
      </c>
      <c r="E17" s="16"/>
      <c r="F17" s="4" t="s">
        <v>75</v>
      </c>
    </row>
    <row r="18" spans="1:6" ht="19.5" customHeight="1" x14ac:dyDescent="0.35">
      <c r="A18" s="12"/>
      <c r="B18" s="17"/>
      <c r="C18" s="12"/>
      <c r="D18" s="12"/>
      <c r="E18" s="17"/>
      <c r="F18" s="12"/>
    </row>
    <row r="19" spans="1:6" ht="19.5" customHeight="1" x14ac:dyDescent="0.35">
      <c r="A19" s="4" t="s">
        <v>83</v>
      </c>
      <c r="B19" s="16" t="s">
        <v>84</v>
      </c>
      <c r="C19" s="4" t="s">
        <v>25</v>
      </c>
      <c r="D19" s="4">
        <f>IFERROR(D8-D17,"Update Aspen cells")</f>
        <v>0</v>
      </c>
      <c r="E19" s="16"/>
      <c r="F19" s="4"/>
    </row>
    <row r="20" spans="1:6" ht="19.5" customHeight="1" x14ac:dyDescent="0.35">
      <c r="A20" s="4" t="s">
        <v>85</v>
      </c>
      <c r="B20" s="16" t="s">
        <v>86</v>
      </c>
      <c r="C20" s="4" t="s">
        <v>25</v>
      </c>
      <c r="D20" s="4">
        <f>IFERROR(ABS(D19/D8)*100,"Update Aspen cells")</f>
        <v>0</v>
      </c>
      <c r="E20" s="16"/>
      <c r="F20" s="4"/>
    </row>
    <row r="21" spans="1:6" ht="19.5" customHeight="1" x14ac:dyDescent="0.35">
      <c r="A21" s="4" t="s">
        <v>123</v>
      </c>
      <c r="B21" s="16" t="s">
        <v>124</v>
      </c>
      <c r="C21" s="4" t="s">
        <v>25</v>
      </c>
      <c r="D21" s="4">
        <f>IFERROR(D10/D4*100,"Check")</f>
        <v>36.321243523316063</v>
      </c>
      <c r="E21" s="16" t="s">
        <v>125</v>
      </c>
      <c r="F21" s="4"/>
    </row>
    <row r="22" spans="1:6" ht="19.5" customHeight="1" x14ac:dyDescent="0.35">
      <c r="A22" s="4" t="s">
        <v>87</v>
      </c>
      <c r="B22" s="16"/>
      <c r="C22" s="4" t="s">
        <v>25</v>
      </c>
      <c r="D22" s="4" t="str">
        <f>IFERROR(IF(D20&lt;=5,"✅ PASS — within 5%","❌ FAIL — check model"),"⏳ Awaiting Aspen")</f>
        <v>✅ PASS — within 5%</v>
      </c>
      <c r="E22" s="16"/>
      <c r="F22" s="4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Stream Table</vt:lpstr>
      <vt:lpstr>Mass Balance</vt:lpstr>
      <vt:lpstr>Energy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Heien</cp:lastModifiedBy>
  <cp:revision>0</cp:revision>
  <dcterms:created xsi:type="dcterms:W3CDTF">2026-05-14T23:41:14Z</dcterms:created>
  <dcterms:modified xsi:type="dcterms:W3CDTF">2026-05-14T23:43:23Z</dcterms:modified>
  <dc:language>en-US</dc:language>
</cp:coreProperties>
</file>