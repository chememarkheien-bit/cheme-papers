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cda521fd78511/Desktop/2/"/>
    </mc:Choice>
  </mc:AlternateContent>
  <xr:revisionPtr revIDLastSave="0" documentId="8_{01F769D0-5F31-4F1E-8F50-DC11D66DDC14}" xr6:coauthVersionLast="47" xr6:coauthVersionMax="47" xr10:uidLastSave="{00000000-0000-0000-0000-000000000000}"/>
  <bookViews>
    <workbookView xWindow="2580" yWindow="2580" windowWidth="12860" windowHeight="8080" tabRatio="500" activeTab="7" xr2:uid="{00000000-000D-0000-FFFF-FFFF00000000}"/>
  </bookViews>
  <sheets>
    <sheet name="Dashboard" sheetId="1" r:id="rId1"/>
    <sheet name="Base_Assumptions" sheetId="2" r:id="rId2"/>
    <sheet name="Product_Calcs" sheetId="3" r:id="rId3"/>
    <sheet name="Stream_Table_Template" sheetId="4" r:id="rId4"/>
    <sheet name="Mass_Energy_Closure" sheetId="5" r:id="rId5"/>
    <sheet name="Equipment_Sizing" sheetId="6" r:id="rId6"/>
    <sheet name="Aspen_V14_Build" sheetId="7" r:id="rId7"/>
    <sheet name="References_ACS_Zotero" sheetId="8" r:id="rId8"/>
    <sheet name="Aspen_Resources" sheetId="9" r:id="rId9"/>
    <sheet name="Research_Papers_Citation_Map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9" i="5" l="1"/>
  <c r="G49" i="5" s="1"/>
  <c r="H49" i="5" s="1"/>
  <c r="D48" i="5"/>
  <c r="G48" i="5" s="1"/>
  <c r="H48" i="5" s="1"/>
  <c r="D47" i="5"/>
  <c r="G47" i="5" s="1"/>
  <c r="H47" i="5" s="1"/>
  <c r="C39" i="5"/>
  <c r="C40" i="5" s="1"/>
  <c r="C42" i="5" s="1"/>
  <c r="C37" i="5"/>
  <c r="C28" i="5"/>
  <c r="C18" i="5"/>
  <c r="C19" i="5" s="1"/>
  <c r="C21" i="5" s="1"/>
  <c r="C16" i="5"/>
  <c r="C8" i="5"/>
  <c r="F14" i="3"/>
  <c r="E14" i="3"/>
  <c r="F13" i="3"/>
  <c r="E13" i="3"/>
  <c r="F5" i="3"/>
  <c r="F7" i="3" s="1"/>
  <c r="E5" i="3"/>
  <c r="F15" i="3" l="1"/>
  <c r="E15" i="3"/>
  <c r="F18" i="3"/>
  <c r="E18" i="3"/>
  <c r="E7" i="3"/>
  <c r="F22" i="3" l="1"/>
  <c r="E22" i="3"/>
  <c r="F19" i="3"/>
  <c r="E19" i="3"/>
  <c r="F16" i="3"/>
  <c r="E16" i="3"/>
  <c r="F23" i="3" l="1"/>
  <c r="E23" i="3"/>
</calcChain>
</file>

<file path=xl/sharedStrings.xml><?xml version="1.0" encoding="utf-8"?>
<sst xmlns="http://schemas.openxmlformats.org/spreadsheetml/2006/main" count="893" uniqueCount="678">
  <si>
    <t>CHEME 486 Report #2 - Dashboard</t>
  </si>
  <si>
    <t>Apple pomace to ethanol project: Report #2 historical baseline model</t>
  </si>
  <si>
    <t>Rubric Area</t>
  </si>
  <si>
    <t>Points</t>
  </si>
  <si>
    <t>A+ Deliverable</t>
  </si>
  <si>
    <t>Evidence to Include</t>
  </si>
  <si>
    <t>Status</t>
  </si>
  <si>
    <t>Owner</t>
  </si>
  <si>
    <t>Due</t>
  </si>
  <si>
    <t>Notes</t>
  </si>
  <si>
    <t>Self-reflection + appearance</t>
  </si>
  <si>
    <t>1 page max reflection; cover page; TOC; TOF; TOT; page numbers; 1.5 spacing</t>
  </si>
  <si>
    <t>Specific learning/challenges; no AI writing; disclose tools if used</t>
  </si>
  <si>
    <t>Drafted</t>
  </si>
  <si>
    <t>Mark</t>
  </si>
  <si>
    <t>2026-05-01</t>
  </si>
  <si>
    <t>Write in your own voice; do not submit generated prose.</t>
  </si>
  <si>
    <t>Process motivation + introduction</t>
  </si>
  <si>
    <t>Forward-looking reason to model historical baseline before retrofit</t>
  </si>
  <si>
    <t>Explain before/after design logic and why baseline matters for Report #3</t>
  </si>
  <si>
    <t>Connect baseline coal syngas to future apple-pomace ethanol retrofit.</t>
  </si>
  <si>
    <t>Process description + assumptions</t>
  </si>
  <si>
    <t>Complete unit-by-unit process; reactions; thermodynamics; feed/product assumptions</t>
  </si>
  <si>
    <t>Historical units; coal composition; product spec; water/steam/air basis; citations</t>
  </si>
  <si>
    <t>Use pre-1937 Seattle Gas Works / Lake Station basis.</t>
  </si>
  <si>
    <t>Block flow diagram</t>
  </si>
  <si>
    <t>Completed BFD with transport, tar extraction, condensers, scrubbers, FeOx purifier, byproduct separation</t>
  </si>
  <si>
    <t>Clear labels; gas/liquid/solid line styles; equipment list</t>
  </si>
  <si>
    <t>Complete</t>
  </si>
  <si>
    <t>Use included PNG as starting figure.</t>
  </si>
  <si>
    <t>PFD / Aspen model</t>
  </si>
  <si>
    <t>Working Aspen model for part/all plant; PFD with T, P, stream numbers, equipment tags</t>
  </si>
  <si>
    <t>Aspen screenshots/export; block specs; model assumptions; hand-calc insets</t>
  </si>
  <si>
    <t>Build plan ready</t>
  </si>
  <si>
    <t>Cannot be generated here; follow Aspen V14 build sheet.</t>
  </si>
  <si>
    <t>Stream tables + balances</t>
  </si>
  <si>
    <t>All streams; species/pseudo-components; MW; T; P; quality; enthalpy; closure summary</t>
  </si>
  <si>
    <t>Mass closure &lt;= 2%; energy closure &lt;= 5%; narrative on how to read tables</t>
  </si>
  <si>
    <t>Closes &lt;2% / &lt;5%</t>
  </si>
  <si>
    <t>Replace placeholder values with Aspen outputs.</t>
  </si>
  <si>
    <t>Research update added</t>
  </si>
  <si>
    <t>Research_Papers_Citation_Map sheet added; ACS list and BibTeX include additional peer-reviewed literature.</t>
  </si>
  <si>
    <t>Base Case Assumptions - Pre-1937 Coal Gasification / City Gas</t>
  </si>
  <si>
    <t>Category</t>
  </si>
  <si>
    <t>Variable</t>
  </si>
  <si>
    <t>Value</t>
  </si>
  <si>
    <t>Units</t>
  </si>
  <si>
    <t>Use in Model</t>
  </si>
  <si>
    <t>Source/Notes</t>
  </si>
  <si>
    <t>Basis</t>
  </si>
  <si>
    <t>Era modeled</t>
  </si>
  <si>
    <t>Pre-1937 / approx. 1930 Lake Station</t>
  </si>
  <si>
    <t>Historical match</t>
  </si>
  <si>
    <t>Best data availability; coal retorts, coke ovens, water gas machines.</t>
  </si>
  <si>
    <t>Product target</t>
  </si>
  <si>
    <t>Nm3/day</t>
  </si>
  <si>
    <t>Sizing</t>
  </si>
  <si>
    <t>Assignment specification.</t>
  </si>
  <si>
    <t>Standard gas condition</t>
  </si>
  <si>
    <t>0 C, 1 atm</t>
  </si>
  <si>
    <t>Nm3 basis</t>
  </si>
  <si>
    <t>State explicitly in report.</t>
  </si>
  <si>
    <t>Coal</t>
  </si>
  <si>
    <t>Coal type</t>
  </si>
  <si>
    <t>Renton / Newcastle sub-bituminous</t>
  </si>
  <si>
    <t>NC solid feed</t>
  </si>
  <si>
    <t>Use proximate/ultimate analyses below.</t>
  </si>
  <si>
    <t>Coal feed rate starting estimate</t>
  </si>
  <si>
    <t>kg/h</t>
  </si>
  <si>
    <t>Aspen starting point</t>
  </si>
  <si>
    <t>Approx. 170 t/day; adjust to meet production target.</t>
  </si>
  <si>
    <t>Moisture</t>
  </si>
  <si>
    <t>wt% AR</t>
  </si>
  <si>
    <t>PROXANAL</t>
  </si>
  <si>
    <t>Volatile matter</t>
  </si>
  <si>
    <t>Fixed carbon</t>
  </si>
  <si>
    <t>Ash</t>
  </si>
  <si>
    <t>HHV as-received</t>
  </si>
  <si>
    <t>MJ/kg</t>
  </si>
  <si>
    <t>Energy input</t>
  </si>
  <si>
    <t>Typical sub-bituminous design value.</t>
  </si>
  <si>
    <t>Steam</t>
  </si>
  <si>
    <t>Steam pressure</t>
  </si>
  <si>
    <t>bar</t>
  </si>
  <si>
    <t>Gasifier feed</t>
  </si>
  <si>
    <t>150 psig saturated steam.</t>
  </si>
  <si>
    <t>Steam temperature</t>
  </si>
  <si>
    <t>C</t>
  </si>
  <si>
    <t>Saturated vapor at 10.3 bar.</t>
  </si>
  <si>
    <t>Steam feed starting estimate</t>
  </si>
  <si>
    <t>Steam:coal approx. 0.9 by mass.</t>
  </si>
  <si>
    <t>Air</t>
  </si>
  <si>
    <t>Air O2 mole fraction</t>
  </si>
  <si>
    <t>mol frac</t>
  </si>
  <si>
    <t>Blow phase</t>
  </si>
  <si>
    <t>Air N2 mole fraction</t>
  </si>
  <si>
    <t>Ar/humidity neglected.</t>
  </si>
  <si>
    <t>Water</t>
  </si>
  <si>
    <t>Lake Union water temperature</t>
  </si>
  <si>
    <t>Boiler feed</t>
  </si>
  <si>
    <t>Treat as pure water.</t>
  </si>
  <si>
    <t>Product</t>
  </si>
  <si>
    <t>H2</t>
  </si>
  <si>
    <t>City gas spec</t>
  </si>
  <si>
    <t>Editable.</t>
  </si>
  <si>
    <t>CO</t>
  </si>
  <si>
    <t>CO2</t>
  </si>
  <si>
    <t>CH4</t>
  </si>
  <si>
    <t>Minor species</t>
  </si>
  <si>
    <t>Include in Aspen; discuss rubric simplification.</t>
  </si>
  <si>
    <t>N2</t>
  </si>
  <si>
    <t>City Gas Basis and Quick Sanity Calculations</t>
  </si>
  <si>
    <t>Input/Output</t>
  </si>
  <si>
    <t>Symbol</t>
  </si>
  <si>
    <t>Formula or Value</t>
  </si>
  <si>
    <t>Excel Formula</t>
  </si>
  <si>
    <t>Result</t>
  </si>
  <si>
    <t>Species</t>
  </si>
  <si>
    <t>mol %</t>
  </si>
  <si>
    <t>Product volume</t>
  </si>
  <si>
    <t>Vdot_N</t>
  </si>
  <si>
    <t>Assignment target</t>
  </si>
  <si>
    <t>Vdot_N,h</t>
  </si>
  <si>
    <t>Nm3/h</t>
  </si>
  <si>
    <t>Molar volume</t>
  </si>
  <si>
    <t>Vm_N</t>
  </si>
  <si>
    <t>Nm3/kmol</t>
  </si>
  <si>
    <t>0 C, 1 atm ideal gas</t>
  </si>
  <si>
    <t>Molar flow</t>
  </si>
  <si>
    <t>ndot</t>
  </si>
  <si>
    <t>kmol/h</t>
  </si>
  <si>
    <t>H2 mole fraction</t>
  </si>
  <si>
    <t>y_H2</t>
  </si>
  <si>
    <t>-</t>
  </si>
  <si>
    <t>CO mole fraction</t>
  </si>
  <si>
    <t>y_CO</t>
  </si>
  <si>
    <t>CO2 mole fraction</t>
  </si>
  <si>
    <t>y_CO2</t>
  </si>
  <si>
    <t>CH4 mole fraction</t>
  </si>
  <si>
    <t>y_CH4</t>
  </si>
  <si>
    <t>N2 mole fraction</t>
  </si>
  <si>
    <t>y_N2</t>
  </si>
  <si>
    <t>Mole fraction sum</t>
  </si>
  <si>
    <t>sum y_i</t>
  </si>
  <si>
    <t>Must equal 1.000</t>
  </si>
  <si>
    <t>Average MW</t>
  </si>
  <si>
    <t>MWavg</t>
  </si>
  <si>
    <t>kg/kmol</t>
  </si>
  <si>
    <t>Use actual Aspen product composition in final</t>
  </si>
  <si>
    <t>Product mass flow</t>
  </si>
  <si>
    <t>mdot_gas</t>
  </si>
  <si>
    <t>mdot_gas,d</t>
  </si>
  <si>
    <t>t/day</t>
  </si>
  <si>
    <t>Gas HHV target</t>
  </si>
  <si>
    <t>HHV_gas</t>
  </si>
  <si>
    <t>MJ/Nm3</t>
  </si>
  <si>
    <t>Blue water gas order of magnitude</t>
  </si>
  <si>
    <t>Gas energy rate</t>
  </si>
  <si>
    <t>Qdot_gas</t>
  </si>
  <si>
    <t>GJ/h</t>
  </si>
  <si>
    <t>Qdot_gas,d</t>
  </si>
  <si>
    <t>TJ/day</t>
  </si>
  <si>
    <t>Coal HHV</t>
  </si>
  <si>
    <t>HHV_coal</t>
  </si>
  <si>
    <t>Cold gas efficiency</t>
  </si>
  <si>
    <t>eta_CG</t>
  </si>
  <si>
    <t>Coal estimate</t>
  </si>
  <si>
    <t>mdot_coal</t>
  </si>
  <si>
    <t>Starting point only</t>
  </si>
  <si>
    <t>mdot_coal,d</t>
  </si>
  <si>
    <t>Stream Table — Pre-1937 Seattle Gas Works Coal Gasification (Lake Station)</t>
  </si>
  <si>
    <t>Stream</t>
  </si>
  <si>
    <t>Description</t>
  </si>
  <si>
    <t>Phase/Class</t>
  </si>
  <si>
    <t>Mass flow kg/h</t>
  </si>
  <si>
    <t>Molar flow kmol/h</t>
  </si>
  <si>
    <t>MW kg/kmol</t>
  </si>
  <si>
    <t>T (C)</t>
  </si>
  <si>
    <t>P (bar)</t>
  </si>
  <si>
    <t>Quality / Vapor frac</t>
  </si>
  <si>
    <t>Enthalpy (GJ/h)</t>
  </si>
  <si>
    <t>Software / Source</t>
  </si>
  <si>
    <t>Closure role</t>
  </si>
  <si>
    <t>S-101</t>
  </si>
  <si>
    <t>Rail/ferry coal to Lake Station yard</t>
  </si>
  <si>
    <t>NC solid</t>
  </si>
  <si>
    <t>Solid</t>
  </si>
  <si>
    <t>Hand/Excel</t>
  </si>
  <si>
    <t>Plant inlet</t>
  </si>
  <si>
    <t>Full-plant coal feed; basis Renton/Newcastle sub-bituminous; HHV 20 MJ/kg AR.</t>
  </si>
  <si>
    <t>S-102</t>
  </si>
  <si>
    <t>Coal split to retorts and coke ovens</t>
  </si>
  <si>
    <t>Internal split</t>
  </si>
  <si>
    <t>Allocated by F.H. 6545 (1933) capacities of horizontal retorts + coke ovens.</t>
  </si>
  <si>
    <t>S-103</t>
  </si>
  <si>
    <t>Coke (devolatilized C) to water-gas machines</t>
  </si>
  <si>
    <t>CISOLID</t>
  </si>
  <si>
    <t>Aspen RYIELD</t>
  </si>
  <si>
    <t>Aspen inlet</t>
  </si>
  <si>
    <t>Coke ex coke-oven loop; assumed 85% C, 5% ash, 10% mineral/H2O for NC attributes.</t>
  </si>
  <si>
    <t>S-104</t>
  </si>
  <si>
    <t>Lake Union water to boiler plant</t>
  </si>
  <si>
    <t>Liquid</t>
  </si>
  <si>
    <t>Aspen/Excel</t>
  </si>
  <si>
    <t>Lake Union surface water at 10 C; treated as pure H2O for energy balance.</t>
  </si>
  <si>
    <t>S-105</t>
  </si>
  <si>
    <t>Saturated process steam to water-gas machines</t>
  </si>
  <si>
    <t>Vapor</t>
  </si>
  <si>
    <t>Aspen MIXER</t>
  </si>
  <si>
    <t>150 psig saturated steam; enthalpy from steam tables relative to liquid at 25 C.</t>
  </si>
  <si>
    <t>S-106</t>
  </si>
  <si>
    <t>Process air to blow phase (cyclic-averaged)</t>
  </si>
  <si>
    <t>Aspen/Hand</t>
  </si>
  <si>
    <t>Cycle-averaged inlet</t>
  </si>
  <si>
    <t>Air blown across hot coke during blow phase; 21% O2, 79% N2; vented separately as S-501.</t>
  </si>
  <si>
    <t>S-201</t>
  </si>
  <si>
    <t>Raw water gas leaving generator (run phase)</t>
  </si>
  <si>
    <t>Aspen RGIBBS</t>
  </si>
  <si>
    <t>Internal</t>
  </si>
  <si>
    <t>H2 + CO + CO2 + CH4 + N2 + H2O + trace H2S/NH3 at gasifier outlet T.</t>
  </si>
  <si>
    <t>S-202</t>
  </si>
  <si>
    <t>Raw retort + oven gas to header (hand-calc)</t>
  </si>
  <si>
    <t>Hand/Murphy 2005</t>
  </si>
  <si>
    <t>Combined high-VM gas from horizontal retorts and coke ovens; merges with S-201.</t>
  </si>
  <si>
    <t>S-301</t>
  </si>
  <si>
    <t>Coal tar + tar sludge to American Tar Co.</t>
  </si>
  <si>
    <t>Aspen FLASH2</t>
  </si>
  <si>
    <t>Aspen outlet</t>
  </si>
  <si>
    <t>Pseudo-component naphthalene-rich tar; 80% C, 6% H, ~13% O, 1% S.</t>
  </si>
  <si>
    <t>S-302</t>
  </si>
  <si>
    <t>Ammoniacal liquor + condensate to liquor sump</t>
  </si>
  <si>
    <t>Mostly unreacted steam (~3120 kg/h H2O) + dissolved NH3 + minor H2S.</t>
  </si>
  <si>
    <t>S-303</t>
  </si>
  <si>
    <t>Spent FeOx purifier mass (cyclic regeneration)</t>
  </si>
  <si>
    <t>Aspen SEP</t>
  </si>
  <si>
    <t>Spent purifier solids; H2S removal byproduct; historic legacy waste.</t>
  </si>
  <si>
    <t>S-304</t>
  </si>
  <si>
    <t>Light oil / BTX to wash-oil reclaim</t>
  </si>
  <si>
    <t>Aspen SEP/Hand</t>
  </si>
  <si>
    <t>BTX recovered in light oil absorber; assumed 78% C, 9% H, 13% misc.</t>
  </si>
  <si>
    <t>S-401</t>
  </si>
  <si>
    <t>Clean city gas to relief and storage holders</t>
  </si>
  <si>
    <t>Aspen Sep + sensible</t>
  </si>
  <si>
    <t>Aspen / plant outlet</t>
  </si>
  <si>
    <t>Target: 170,000 Nm3/day. Composition 50% H2, 40% CO, 5% CO2, 3% CH4, 2% N2.</t>
  </si>
  <si>
    <t>S-402</t>
  </si>
  <si>
    <t>Ash + unconverted char to disposal</t>
  </si>
  <si>
    <t>Includes 460 kg/h ash from coke + 251 kg/h unconverted carbon (char).</t>
  </si>
  <si>
    <t>S-501</t>
  </si>
  <si>
    <t>Blow-phase vent gas (CO2/N2) to stack</t>
  </si>
  <si>
    <t>Hand/Aspen</t>
  </si>
  <si>
    <t>Plant outlet</t>
  </si>
  <si>
    <t>Cycle-averaged combustion vent during air-blow phase; outside Aspen run-phase domain.</t>
  </si>
  <si>
    <t>Mass and Energy Balance Closure — Aspen Plus V14 Domain</t>
  </si>
  <si>
    <t>Domain: Water-gas machines + cooling/cleanup train. Inlets: S-103, S-105. Outlets: S-301, S-302, S-303, S-304, S-401, S-402.</t>
  </si>
  <si>
    <t>TOTAL MASS BALANCE (Aspen domain)</t>
  </si>
  <si>
    <t>Mass flow (kg/h)</t>
  </si>
  <si>
    <t>Direction</t>
  </si>
  <si>
    <t>Coke to water-gas machines</t>
  </si>
  <si>
    <t>IN</t>
  </si>
  <si>
    <t>Saturated steam</t>
  </si>
  <si>
    <t>TOTAL IN</t>
  </si>
  <si>
    <t>Coal tar</t>
  </si>
  <si>
    <t>OUT</t>
  </si>
  <si>
    <t>Ammoniacal liquor + condensate</t>
  </si>
  <si>
    <t>Spent FeOx purifier</t>
  </si>
  <si>
    <t>Light oil / BTX</t>
  </si>
  <si>
    <t>City gas product</t>
  </si>
  <si>
    <t>Ash + char</t>
  </si>
  <si>
    <t>TOTAL OUT</t>
  </si>
  <si>
    <t>Absolute imbalance |IN-OUT| (kg/h)</t>
  </si>
  <si>
    <t>Mass closure error (%)</t>
  </si>
  <si>
    <t>Target mass closure</t>
  </si>
  <si>
    <t>&lt;2%</t>
  </si>
  <si>
    <t>TOTAL ENERGY BALANCE (Aspen domain)</t>
  </si>
  <si>
    <t>Energy (GJ/h)</t>
  </si>
  <si>
    <t>Reference</t>
  </si>
  <si>
    <t>Coke chemical (HHV) input</t>
  </si>
  <si>
    <t>4600 kg/h × 28 MJ/kg</t>
  </si>
  <si>
    <t>Steam enthalpy (sat vap, ref 25 C liquid)</t>
  </si>
  <si>
    <t>6250 kg/h × 2675 kJ/kg</t>
  </si>
  <si>
    <t>TOTAL ENERGY IN</t>
  </si>
  <si>
    <t>City gas chemical (HHV)</t>
  </si>
  <si>
    <t>7083 Nm3/h × 12 MJ/Nm3</t>
  </si>
  <si>
    <t>Char chemical (HHV) + ash sensible</t>
  </si>
  <si>
    <t>251 kg C × 33 MJ/kg + minor sensible</t>
  </si>
  <si>
    <t>Tar chemical (HHV)</t>
  </si>
  <si>
    <t>280 kg/h × 36 MJ/kg</t>
  </si>
  <si>
    <t>Light oil/BTX chemical (HHV)</t>
  </si>
  <si>
    <t>100 kg/h × 40 MJ/kg</t>
  </si>
  <si>
    <t>Liquor sensible heat (~10 C above ref)</t>
  </si>
  <si>
    <t>Minor</t>
  </si>
  <si>
    <t>Q_cool</t>
  </si>
  <si>
    <t>Heat removed by gas cooler/condenser</t>
  </si>
  <si>
    <t>Aspen heater duty</t>
  </si>
  <si>
    <t>Q_loss</t>
  </si>
  <si>
    <t>Plant heat losses to environment</t>
  </si>
  <si>
    <t>Closing term</t>
  </si>
  <si>
    <t>TOTAL ENERGY OUT</t>
  </si>
  <si>
    <t>Absolute imbalance |IN-OUT| (GJ/h)</t>
  </si>
  <si>
    <t>Energy closure error (%)</t>
  </si>
  <si>
    <t>Target energy closure</t>
  </si>
  <si>
    <t>&lt;5%</t>
  </si>
  <si>
    <t>ELEMENT BALANCE SUMMARY (verification)</t>
  </si>
  <si>
    <t>Element</t>
  </si>
  <si>
    <t>In: Coke (kg/h)</t>
  </si>
  <si>
    <t>In: Steam (kg/h)</t>
  </si>
  <si>
    <t>Total IN</t>
  </si>
  <si>
    <t>Out: Gas</t>
  </si>
  <si>
    <t>Out: Tar+oil</t>
  </si>
  <si>
    <t>Out: Liquor+char+ash+purifier</t>
  </si>
  <si>
    <t>Closure (%)</t>
  </si>
  <si>
    <t>Carbon</t>
  </si>
  <si>
    <t>Hydrogen</t>
  </si>
  <si>
    <t>Oxygen</t>
  </si>
  <si>
    <t>Major Equipment Inventory and Sizing Basis</t>
  </si>
  <si>
    <t>Tag</t>
  </si>
  <si>
    <t>Unit</t>
  </si>
  <si>
    <t>Count/Capacity</t>
  </si>
  <si>
    <t>Primary role</t>
  </si>
  <si>
    <t>Aspen block analog</t>
  </si>
  <si>
    <t>Sizing basis</t>
  </si>
  <si>
    <t>Expected design variables</t>
  </si>
  <si>
    <t>Show on BFD?</t>
  </si>
  <si>
    <t>Show on PFD?</t>
  </si>
  <si>
    <t>Y-101</t>
  </si>
  <si>
    <t>Coal yard + trackage</t>
  </si>
  <si>
    <t>1</t>
  </si>
  <si>
    <t>Coal receiving/storage</t>
  </si>
  <si>
    <t>Not modeled</t>
  </si>
  <si>
    <t>Coal inventory, rail/ferry delivery</t>
  </si>
  <si>
    <t>Storage days; bulk density</t>
  </si>
  <si>
    <t>Yes</t>
  </si>
  <si>
    <t>Optional</t>
  </si>
  <si>
    <t>Required by rubric for transport.</t>
  </si>
  <si>
    <t>B-101</t>
  </si>
  <si>
    <t>Boiler plant</t>
  </si>
  <si>
    <t>Steam generation</t>
  </si>
  <si>
    <t>Heater/Steam table</t>
  </si>
  <si>
    <t>Steam demand + efficiency</t>
  </si>
  <si>
    <t>P, T, quality, heat duty</t>
  </si>
  <si>
    <t>Lake Union water to saturated steam.</t>
  </si>
  <si>
    <t>R-101</t>
  </si>
  <si>
    <t>Horizontal retorts</t>
  </si>
  <si>
    <t>144 retorts</t>
  </si>
  <si>
    <t>Coal carbonization</t>
  </si>
  <si>
    <t>RYield</t>
  </si>
  <si>
    <t>Empirical yield distribution</t>
  </si>
  <si>
    <t>T, yields, heat duty</t>
  </si>
  <si>
    <t>Approx. 900 C no air.</t>
  </si>
  <si>
    <t>R-102</t>
  </si>
  <si>
    <t>Coke ovens</t>
  </si>
  <si>
    <t>20 chambers, 6.5 t/chamber</t>
  </si>
  <si>
    <t>Coke + oven gas</t>
  </si>
  <si>
    <t>Dry coal throughput</t>
  </si>
  <si>
    <t>Residence time, yields</t>
  </si>
  <si>
    <t>Producer gas fuel loop.</t>
  </si>
  <si>
    <t>R-103</t>
  </si>
  <si>
    <t>Producer gas furnace</t>
  </si>
  <si>
    <t>historical furnace</t>
  </si>
  <si>
    <t>Fuel gas for ovens</t>
  </si>
  <si>
    <t>RGibbs/RStoic</t>
  </si>
  <si>
    <t>Coal + air conversion</t>
  </si>
  <si>
    <t>T, conversion, air ratio</t>
  </si>
  <si>
    <t>Can be simplified as utility fuel gas.</t>
  </si>
  <si>
    <t>R-201</t>
  </si>
  <si>
    <t>Water gas machines</t>
  </si>
  <si>
    <t>6</t>
  </si>
  <si>
    <t>Dominant H2/CO production</t>
  </si>
  <si>
    <t>RGibbs</t>
  </si>
  <si>
    <t>Target gas output balance</t>
  </si>
  <si>
    <t>T, P, steam/coal, air/coal</t>
  </si>
  <si>
    <t>Restrict species list.</t>
  </si>
  <si>
    <t>E-201</t>
  </si>
  <si>
    <t>Primary cooler/condenser</t>
  </si>
  <si>
    <t>Cool raw gas, condense tar/water</t>
  </si>
  <si>
    <t>Heater + Flash2</t>
  </si>
  <si>
    <t>Outlet T, vapor fraction</t>
  </si>
  <si>
    <t>Q duty, coolant</t>
  </si>
  <si>
    <t>Tar/water knockout.</t>
  </si>
  <si>
    <t>C-201</t>
  </si>
  <si>
    <t>Exhauster/blower</t>
  </si>
  <si>
    <t>Move raw gas through train</t>
  </si>
  <si>
    <t>Compr</t>
  </si>
  <si>
    <t>Pressure rise</t>
  </si>
  <si>
    <t>Power, Pout</t>
  </si>
  <si>
    <t>Low pressure gas blower.</t>
  </si>
  <si>
    <t>T-301</t>
  </si>
  <si>
    <t>Ammonia washers/scrubbers</t>
  </si>
  <si>
    <t>2</t>
  </si>
  <si>
    <t>Remove NH3 and soluble impurities</t>
  </si>
  <si>
    <t>Sep/RadFrac/Absorber</t>
  </si>
  <si>
    <t>Specified recoveries</t>
  </si>
  <si>
    <t>Water rate, recovery</t>
  </si>
  <si>
    <t>Start with SEP for convergence.</t>
  </si>
  <si>
    <t>V-301</t>
  </si>
  <si>
    <t>Decanter</t>
  </si>
  <si>
    <t>Separate tar from ammonia liquor</t>
  </si>
  <si>
    <t>Decanter/Flash2</t>
  </si>
  <si>
    <t>Phase split</t>
  </si>
  <si>
    <t>T, P, split</t>
  </si>
  <si>
    <t>Pseudo tar + water.</t>
  </si>
  <si>
    <t>T-302</t>
  </si>
  <si>
    <t>Light oil absorber</t>
  </si>
  <si>
    <t>BTX recovery</t>
  </si>
  <si>
    <t>Sep</t>
  </si>
  <si>
    <t>Wash oil rate</t>
  </si>
  <si>
    <t>May be hand-calc only.</t>
  </si>
  <si>
    <t>ESP-301</t>
  </si>
  <si>
    <t>Cottrell ESP</t>
  </si>
  <si>
    <t>Tar mist removal</t>
  </si>
  <si>
    <t>Particulate/tar mist recovery</t>
  </si>
  <si>
    <t>Recovery fraction</t>
  </si>
  <si>
    <t>Post-1924 addition.</t>
  </si>
  <si>
    <t>P-301</t>
  </si>
  <si>
    <t>FeOx dryboxes</t>
  </si>
  <si>
    <t>multi-bed</t>
  </si>
  <si>
    <t>H2S removal</t>
  </si>
  <si>
    <t>H2S removal efficiency</t>
  </si>
  <si>
    <t>Spent oxide waste outlet.</t>
  </si>
  <si>
    <t>H-401</t>
  </si>
  <si>
    <t>Relief holder</t>
  </si>
  <si>
    <t>502,000 ft3</t>
  </si>
  <si>
    <t>Surge capacity</t>
  </si>
  <si>
    <t>Storage volume</t>
  </si>
  <si>
    <t>Residence time</t>
  </si>
  <si>
    <t>14,200 Nm3.</t>
  </si>
  <si>
    <t>H-402</t>
  </si>
  <si>
    <t>Storage holder</t>
  </si>
  <si>
    <t>2,000,000 ft3</t>
  </si>
  <si>
    <t>City gas buffer</t>
  </si>
  <si>
    <t>56,635 Nm3.</t>
  </si>
  <si>
    <t>Aspen Plus V14 Build Checklist - Use on UW COE-VDI</t>
  </si>
  <si>
    <t>Step</t>
  </si>
  <si>
    <t>Aspen location/action</t>
  </si>
  <si>
    <t>Exact setting</t>
  </si>
  <si>
    <t>Why it matters</t>
  </si>
  <si>
    <t>Pass/Fail</t>
  </si>
  <si>
    <t>Screenshot needed?</t>
  </si>
  <si>
    <t>Common problem</t>
  </si>
  <si>
    <t>Fix</t>
  </si>
  <si>
    <t>Create new file</t>
  </si>
  <si>
    <t>Chemicals with Metric Units</t>
  </si>
  <si>
    <t>Matches course workflow and metric basis</t>
  </si>
  <si>
    <t>Wrong units</t>
  </si>
  <si>
    <t>Use template or set global units manually.</t>
  </si>
  <si>
    <t>Properties &gt; Components &gt; Specifications</t>
  </si>
  <si>
    <t>Add COAL as Nonconventional; add C, ASH, H2, CO, CO2, H2O, CH4, O2, N2, H2S, NH3; add TAR pseudo/species if used</t>
  </si>
  <si>
    <t>Represents NC feed and product species</t>
  </si>
  <si>
    <t>RGibbs makes undefendable trace species</t>
  </si>
  <si>
    <t>Restrict possible products in RGibbs.</t>
  </si>
  <si>
    <t>Properties &gt; Methods</t>
  </si>
  <si>
    <t>PR-BM for high-T gas; HCOALGEN enthalpy; DCOALGIT density</t>
  </si>
  <si>
    <t>Coal needs NC property models</t>
  </si>
  <si>
    <t>Missing NC properties</t>
  </si>
  <si>
    <t>Fill component attributes.</t>
  </si>
  <si>
    <t>Simulation &gt; Setup &gt; Global</t>
  </si>
  <si>
    <t>Stream Class = MIXCINC; Flow Basis = Mass</t>
  </si>
  <si>
    <t>Required for conventional + nonconventional solids</t>
  </si>
  <si>
    <t>Coal stream tab missing NC solid</t>
  </si>
  <si>
    <t>Set stream class before feeds.</t>
  </si>
  <si>
    <t>COAL stream &gt; NC Solid</t>
  </si>
  <si>
    <t>7100 kg/h, 25 C, 1 bar, coal mass fraction = 1</t>
  </si>
  <si>
    <t>Starting design basis</t>
  </si>
  <si>
    <t>Coal not flowing</t>
  </si>
  <si>
    <t>Use NC Solid tab, not Mixed tab.</t>
  </si>
  <si>
    <t>COAL component attributes</t>
  </si>
  <si>
    <t>PROXANAL: M=20, VM=33, FC=37, Ash=10; ULTANAL DAF C=73, H=5.5, O=17, N=1.2, S=0.4, Cl=0.05</t>
  </si>
  <si>
    <t>Required for HCOALGEN/DCOALGIT</t>
  </si>
  <si>
    <t>Property analysis fails</t>
  </si>
  <si>
    <t>Check basis and total.</t>
  </si>
  <si>
    <t>RYIELD block R-101</t>
  </si>
  <si>
    <t>Convert NC COAL to conventional components: C, H2O, ASH, volatile pseudo-products</t>
  </si>
  <si>
    <t>Decomposes coal for downstream reactions</t>
  </si>
  <si>
    <t>RGibbs cannot react NC COAL directly</t>
  </si>
  <si>
    <t>Put RYIELD before RGibbs.</t>
  </si>
  <si>
    <t>RGibbs block R-201</t>
  </si>
  <si>
    <t>Possible products: C, CO, CO2, H2, H2O, CH4, N2, O2 only</t>
  </si>
  <si>
    <t>Models gasifier equilibrium</t>
  </si>
  <si>
    <t>Convergence/trace species</t>
  </si>
  <si>
    <t>Limit products and set T 1000-1100 C.</t>
  </si>
  <si>
    <t>Heater/Cooler + Flash/SEP</t>
  </si>
  <si>
    <t>Cool raw gas to 25-40 C; remove water/tar</t>
  </si>
  <si>
    <t>Creates cleanup section and stream table</t>
  </si>
  <si>
    <t>All water stays vapor</t>
  </si>
  <si>
    <t>Lower outlet T or use Flash2.</t>
  </si>
  <si>
    <t>SEP blocks</t>
  </si>
  <si>
    <t>NH3/H2S/tar removal recoveries</t>
  </si>
  <si>
    <t>Models scrubber, ESP, FeOx dryboxes</t>
  </si>
  <si>
    <t>Mass closure poor</t>
  </si>
  <si>
    <t>Track all removed species as waste outlets.</t>
  </si>
  <si>
    <t>Design spec/sensitivity</t>
  </si>
  <si>
    <t>Vary coal feed or steam feed to hit 170,000 Nm3/day</t>
  </si>
  <si>
    <t>Meets product target</t>
  </si>
  <si>
    <t>Output off by factor 10</t>
  </si>
  <si>
    <t>Check Nm3/day vs m3/h and standard conditions.</t>
  </si>
  <si>
    <t>Results export</t>
  </si>
  <si>
    <t>Stream table: mass, molar, MW, T, P, vapor fraction, enthalpy</t>
  </si>
  <si>
    <t>Required by rubric</t>
  </si>
  <si>
    <t>Missing enthalpy or phase</t>
  </si>
  <si>
    <t>Use Aspen stream results and copy all relevant fields.</t>
  </si>
  <si>
    <t>Key References and Zotero Import Targets</t>
  </si>
  <si>
    <t>Use</t>
  </si>
  <si>
    <t>Short name</t>
  </si>
  <si>
    <t>ACS-style reference draft</t>
  </si>
  <si>
    <t>Zotero item type</t>
  </si>
  <si>
    <t>URL/DOI/source</t>
  </si>
  <si>
    <t>Assignment/rubric</t>
  </si>
  <si>
    <t>CHEME 486 Report #2</t>
  </si>
  <si>
    <t>Rorrer, J. ChemE 486 Process Design II, Report #2: Process Model of Coal Gasification Plant; University of Washington, 2026.</t>
  </si>
  <si>
    <t>Document</t>
  </si>
  <si>
    <t>Uploaded course document.</t>
  </si>
  <si>
    <t>Historical plant</t>
  </si>
  <si>
    <t>F.H. 6545</t>
  </si>
  <si>
    <t>Washington Department of Public Works. Appraisal and Rate Investigation of the Seattle Gas Company as of June 30, 1933; State of Washington, 1933.</t>
  </si>
  <si>
    <t>Report</t>
  </si>
  <si>
    <t>Uploaded 1933 report PDFs.</t>
  </si>
  <si>
    <t>Historical process</t>
  </si>
  <si>
    <t>Eggers 1998</t>
  </si>
  <si>
    <t>Eggers, D. D. Coal Gasification and Liquefaction; Seattle Public Library Pamphlet, 1998.</t>
  </si>
  <si>
    <t>Uploaded OCR PDF.</t>
  </si>
  <si>
    <t>Gas works design</t>
  </si>
  <si>
    <t>Hughes/Richards 1885</t>
  </si>
  <si>
    <t>Hughes, S.; Richards, W. Gas Works: Their Construction and Arrangement, and the Manufacture and Distribution of Coal Gas, 7th ed.; Crosby Lockwood and Co.: London, 1885.</t>
  </si>
  <si>
    <t>Book</t>
  </si>
  <si>
    <t>https://hdl.handle.net/2027/nyp.33433066401302</t>
  </si>
  <si>
    <t>Coal resources</t>
  </si>
  <si>
    <t>Daniels 1941</t>
  </si>
  <si>
    <t>Daniels, J. Coal Resources of Washington. Trans. ASME 1941, 63 (4), 289-292.</t>
  </si>
  <si>
    <t>Journal Article</t>
  </si>
  <si>
    <t>Uploaded PDF.</t>
  </si>
  <si>
    <t>Washington coal</t>
  </si>
  <si>
    <t>Green 1943</t>
  </si>
  <si>
    <t>Green, S. H. Coal and Coal Mining in Washington; Report of Investigations No. 4; Washington Division of Mines and Mining: Olympia, WA, 1943.</t>
  </si>
  <si>
    <t>Site history</t>
  </si>
  <si>
    <t>Sawyer 2020</t>
  </si>
  <si>
    <t>Sawyer, S. Gas Works Park (Seattle); HistoryLink.org Essay 20978, 2020.</t>
  </si>
  <si>
    <t>Web Page</t>
  </si>
  <si>
    <t>Uploaded PDF / HistoryLink.</t>
  </si>
  <si>
    <t>Landmark designation</t>
  </si>
  <si>
    <t>Seattle LPB 1999</t>
  </si>
  <si>
    <t>Seattle Landmarks Preservation Board. Report on Designation: Gas Works Park, LPB 148/99; City of Seattle: Seattle, WA, 1999.</t>
  </si>
  <si>
    <t>Remediation</t>
  </si>
  <si>
    <t>Ecology 2005</t>
  </si>
  <si>
    <t>Washington State Department of Ecology. First Five-Year Review Report: Gas Works Park Site; Northwest Regional Office: Bellevue, WA, 2005.</t>
  </si>
  <si>
    <t>Apple pomace future retrofit</t>
  </si>
  <si>
    <t>Guardia 2019</t>
  </si>
  <si>
    <t>Guardia, L.; Suarez, L.; Querejeta, N.; Rodriguez Madrera, R.; Suarez, B.; Centeno, T. A. Apple Waste: A Sustainable Source of Carbon Materials and Valuable Compounds. ACS Sustainable Chem. Eng. 2019, 7, 17335-17343. DOI: 10.1021/acssuschemeng.9b04266.</t>
  </si>
  <si>
    <t>https://doi.org/10.1021/acssuschemeng.9b04266</t>
  </si>
  <si>
    <t>Flow diagram conventions</t>
  </si>
  <si>
    <t>Parisher 2011</t>
  </si>
  <si>
    <t>Parisher, R. A.; Rhea, R. A. Pipe Drafting and Design; Elsevier: Amsterdam, 2011; Chapter 7.</t>
  </si>
  <si>
    <t>Book Section</t>
  </si>
  <si>
    <t>Uploaded PDF excerpt.</t>
  </si>
  <si>
    <t>Software</t>
  </si>
  <si>
    <t>Aspen Plus V14</t>
  </si>
  <si>
    <t>AspenTech. Aspen Plus V14; AspenTech: Bedford, MA, 2024.</t>
  </si>
  <si>
    <t>AspenTech / UW COE-VDI.</t>
  </si>
  <si>
    <t>Additional peer-reviewed papers added</t>
  </si>
  <si>
    <t>Murphy2005ManufacturedGas</t>
  </si>
  <si>
    <t>Article</t>
  </si>
  <si>
    <t>Murphy, B. L.; Sparacio, T.; Shields, W. J. Manufactured Gas Plants—Processes, Historical Development, and Key Issues in Insurance Coverage Disputes. Environmental Forensics 2005, 6 (2), 161–173. DOI: 10.1080/15275920590952847.</t>
  </si>
  <si>
    <t>Process residuals, MGP units, byproduct justification</t>
  </si>
  <si>
    <t>Use in process description + BFD/PFD.</t>
  </si>
  <si>
    <t>Higman2008Gasification</t>
  </si>
  <si>
    <t>Higman, C.; van der Burgt, M. Gasification, 2nd ed.; Gulf Professional Publishing: Burlington, MA, 2008.</t>
  </si>
  <si>
    <t>Gasification reaction/thermodynamic basis</t>
  </si>
  <si>
    <t>Use in reactions/Aspen assumptions.</t>
  </si>
  <si>
    <t>Magyar2016ApplePomaceEthanol</t>
  </si>
  <si>
    <t>Magyar, M.; da Costa Sousa, L.; Jin, M.; Sarks, C.; Balan, V. Conversion of Apple Pomace Waste to Ethanol at Industrial Relevant Conditions. Appl. Microbiol. Biotechnol. 2016, 100 (16), 7349–7358. DOI: 10.1007/s00253-016-7665-7.</t>
  </si>
  <si>
    <t>Direct apple pomace ethanol data</t>
  </si>
  <si>
    <t>Use in Report #3 bridge.</t>
  </si>
  <si>
    <t>Parmar2013ApplePomaceEthanol</t>
  </si>
  <si>
    <t>Parmar, I.; Vasantha Rupasinghe, H. P. Bio-conversion of Apple Pomace into Ethanol and Acetic Acid: Enzymatic Hydrolysis and Fermentation. Bioresour. Technol. 2013, 130, 613–620. DOI: 10.1016/j.biortech.2012.12.084.</t>
  </si>
  <si>
    <t>Enzymatic hydrolysis + fermentation</t>
  </si>
  <si>
    <t>Use in hydrolysis assumptions.</t>
  </si>
  <si>
    <t>Ma2024SubcriticalApplePomace</t>
  </si>
  <si>
    <t>Ma, X.; Ma, Y.; Zhang, L.; Lü, J.; Ma, S.; Lei, J.; Wang, Y.; Liu, M.; Lü, X.; Wang, X. Subcritical Water Pretreatment of De-pectin Apple Pomace for Ethanol Conversion and Whole Components Utilization. Ind. Crops Prod. 2024, 216, 118720. DOI: 10.1016/j.indcrop.2024.118720.</t>
  </si>
  <si>
    <t>Subcritical-water pretreatment, high-titer SSSF</t>
  </si>
  <si>
    <t>Use in pretreatment alternative.</t>
  </si>
  <si>
    <t>RebolledoLeiva2024AppleBiorefinery</t>
  </si>
  <si>
    <t>Rebolledo-Leiva, R.; Estévez, S.; Hernández, D.; Feijoo, G.; Moreira, M. T.; González-García, S. Apple Pomace Integrated Biorefinery for Biofuels Production: A Techno-Economic and Environmental Sustainability Analysis. Resources 2024, 13 (11), 156. DOI: 10.3390/resources13110156.</t>
  </si>
  <si>
    <t>Integrated biorefinery, vinasse treatment</t>
  </si>
  <si>
    <t>Use in residual-stream handling.</t>
  </si>
  <si>
    <t>Aspen / UW COE-VDI / Reference Resources</t>
  </si>
  <si>
    <t>Resource</t>
  </si>
  <si>
    <t>URL</t>
  </si>
  <si>
    <t>UW COE-VDI</t>
  </si>
  <si>
    <t>Access Aspen through engineering virtual desktop</t>
  </si>
  <si>
    <t>https://www.engr.washington.edu/mycoe/computing/studentresources/coevdi.html</t>
  </si>
  <si>
    <t>UW describes COE-VDI as a virtualized desktop for College of Engineering students.</t>
  </si>
  <si>
    <t>Getting Started with COE-VDI</t>
  </si>
  <si>
    <t>Connection instructions</t>
  </si>
  <si>
    <t>https://www.engr.washington.edu/mycoe/computing/studentresources/vdihowto.html</t>
  </si>
  <si>
    <t>Preferred method is Horizon Client; web access also available.</t>
  </si>
  <si>
    <t>COE-VDI Software</t>
  </si>
  <si>
    <t>Verify installed software pool</t>
  </si>
  <si>
    <t>https://www.engr.washington.edu/mycoe/computing/studentresources/vdisoftware.html</t>
  </si>
  <si>
    <t>Software list is updated as needed.</t>
  </si>
  <si>
    <t>UW ChemE Software Q&amp;A</t>
  </si>
  <si>
    <t>Aspen license/access context</t>
  </si>
  <si>
    <t>https://www.cheme.washington.edu/ChemE%20Software%20and%20Printer%20Q%26A</t>
  </si>
  <si>
    <t>ChemE covers AspenTech licenses for instruction through VDI.</t>
  </si>
  <si>
    <t>AspenTech Support Center</t>
  </si>
  <si>
    <t>Official Aspen documentation/support</t>
  </si>
  <si>
    <t>https://esupport.aspentech.com/</t>
  </si>
  <si>
    <t>May require account/login.</t>
  </si>
  <si>
    <t>Lab 4 Aspen tutorial</t>
  </si>
  <si>
    <t>Course-specific nonconventional feedstock workflow</t>
  </si>
  <si>
    <t>Uploaded Lab 4 Activities CHEME 486.pdf</t>
  </si>
  <si>
    <t>Use COAL NC, HCOALGEN, DCOALGIT, MIXCINC.</t>
  </si>
  <si>
    <t>Zotero</t>
  </si>
  <si>
    <t>Citation manager</t>
  </si>
  <si>
    <t>https://www.zotero.org/</t>
  </si>
  <si>
    <t>Use Word plugin with ACS style.</t>
  </si>
  <si>
    <t>Zotero Connector</t>
  </si>
  <si>
    <t>Capture metadata from browser</t>
  </si>
  <si>
    <t>https://www.zotero.org/download/connectors</t>
  </si>
  <si>
    <t>Install in browser.</t>
  </si>
  <si>
    <t>Scientific Research Papers and Citation Map for Report #2</t>
  </si>
  <si>
    <t>Use this sheet to place peer-reviewed / archival citations in the report body and to build clean Zotero entries in ACS style.</t>
  </si>
  <si>
    <t>Citation ID</t>
  </si>
  <si>
    <t>Source category</t>
  </si>
  <si>
    <t>Reference / ACS starter</t>
  </si>
  <si>
    <t>Key support for report</t>
  </si>
  <si>
    <t>Where to cite</t>
  </si>
  <si>
    <t>Zotero key</t>
  </si>
  <si>
    <t>DOI / URL</t>
  </si>
  <si>
    <t>R1</t>
  </si>
  <si>
    <t>Manufactured-gas / coal baseline</t>
  </si>
  <si>
    <t>Murphy, B. L.; Sparacio, T.; Shields, W. J. Manufactured Gas Plants—Processes, Historical Development, and Key Issues in Insurance Coverage Disputes. Environmental Forensics 2005, 6 (2), 161–173.</t>
  </si>
  <si>
    <t>Use for manufactured-gas plant process units, residuals, tar/liquor handling, byproduct logic, and why cleanup blocks belong in BFD/PFD.</t>
  </si>
  <si>
    <t>Process Description; BFD/PFD narrative; byproduct handling assumptions</t>
  </si>
  <si>
    <t>10.1080/15275920590952847</t>
  </si>
  <si>
    <t>R2</t>
  </si>
  <si>
    <t>Gasification technical basis</t>
  </si>
  <si>
    <t>Use for coal-gasification reaction network, equilibrium simplification, gas composition sanity checks, and Aspen RGibbs justification.</t>
  </si>
  <si>
    <t>Chemical reactions; thermodynamics; Aspen model assumptions</t>
  </si>
  <si>
    <t>ISBN 978-0-7506-8528-3</t>
  </si>
  <si>
    <t>R3</t>
  </si>
  <si>
    <t>Apple-pomace valorization</t>
  </si>
  <si>
    <t>Guardia, L.; Suarez, L.; Querejeta, N.; Rodriguez Madrera, R.; Suarez, B.; Centeno, T. A. Apple Waste: A Sustainable Source of Carbon Materials and Valuable Compounds. ACS Sustainable Chem. Eng. 2019, 7, 17335–17343.</t>
  </si>
  <si>
    <t>Use for apple pomace as high-COD biodegradable residue and a viable biorefinery feedstock rather than simple waste.</t>
  </si>
  <si>
    <t>Report #3 bridge; feedstock motivation; sustainability rationale</t>
  </si>
  <si>
    <t>Guardia2019AppleWaste</t>
  </si>
  <si>
    <t>10.1021/acssuschemeng.9b04266</t>
  </si>
  <si>
    <t>R4</t>
  </si>
  <si>
    <t>Apple-pomace to ethanol</t>
  </si>
  <si>
    <t>Magyar, M.; da Costa Sousa, L.; Jin, M.; Sarks, C.; Balan, V. Conversion of Apple Pomace Waste to Ethanol at Industrial Relevant Conditions. Appl. Microbiol. Biotechnol. 2016, 100 (16), 7349–7358.</t>
  </si>
  <si>
    <t>Direct ethanol conversion basis: industrially relevant solids loading; reported ethanol concentrations near 53 g/L and approximately 134 g ethanol/kg dry pomace.</t>
  </si>
  <si>
    <t>Report #3 bridge; fermentation design basis; process/product motivation</t>
  </si>
  <si>
    <t>10.1007/s00253-016-7665-7</t>
  </si>
  <si>
    <t>R5</t>
  </si>
  <si>
    <t>Parmar, I.; Vasantha Rupasinghe, H. P. Bio-conversion of Apple Pomace into Ethanol and Acetic Acid: Enzymatic Hydrolysis and Fermentation. Bioresour. Technol. 2013, 130, 613–620.</t>
  </si>
  <si>
    <t>Use for cellulase/pectinase/beta-glucosidase-assisted saccharification, pH/temperature basis, and S. cerevisiae fermentation route.</t>
  </si>
  <si>
    <t>Hydrolysis assumptions; fermentation assumptions; equipment selection</t>
  </si>
  <si>
    <t>10.1016/j.biortech.2012.12.084</t>
  </si>
  <si>
    <t>R6</t>
  </si>
  <si>
    <t>Advanced pretreatment</t>
  </si>
  <si>
    <t>Ma, X.; Ma, Y.; Zhang, L.; Lü, J.; Ma, S.; Lei, J.; Wang, Y.; Liu, M.; Lü, X.; Wang, X. Subcritical Water Pretreatment of De-pectin Apple Pomace for Ethanol Conversion and Whole Components Utilization. Ind. Crops Prod. 2024, 216, 118720.</t>
  </si>
  <si>
    <t>Use for subcritical-water pretreatment option and high-titer fed-batch SSSF basis; helpful for a more ambitious retrofit design.</t>
  </si>
  <si>
    <t>Pretreatment alternatives; Report #3 process selection</t>
  </si>
  <si>
    <t>10.1016/j.indcrop.2024.118720</t>
  </si>
  <si>
    <t>R7</t>
  </si>
  <si>
    <t>Integrated biorefinery / residual streams</t>
  </si>
  <si>
    <t>Rebolledo-Leiva, R.; Estévez, S.; Hernández, D.; Feijoo, G.; Moreira, M. T.; González-García, S. Apple Pomace Integrated Biorefinery for Biofuels Production: A Techno-Economic and Environmental Sustainability Analysis. Resources 2024, 13 (11), 156.</t>
  </si>
  <si>
    <t>Use for systems-level argument that vinasse/stillage and residual solids should be modeled or at least bounded rather than ignored.</t>
  </si>
  <si>
    <t>Coproduct handling; final report TEA/LCA bridge; waste-management assumptions</t>
  </si>
  <si>
    <t>10.3390/resources13110156</t>
  </si>
  <si>
    <t>Citation placement checklist</t>
  </si>
  <si>
    <t>Process Motivation and Introduction</t>
  </si>
  <si>
    <t>Cite Murphy/Higman when explaining why the coal baseline must be modeled before apple-pomace retrofit.</t>
  </si>
  <si>
    <t>Process Description and Assumptions</t>
  </si>
  <si>
    <t>Cite Higman for reaction/thermo assumptions; cite Murphy for residuals/byproducts; cite historical sources for Seattle-specific unit counts.</t>
  </si>
  <si>
    <t>Block Flow Diagram</t>
  </si>
  <si>
    <t>Cite Murphy and historical Gas Works sources for condensers, scrubbers, tar/liquor separation, purifier/dry boxes, gas holders, and distribution.</t>
  </si>
  <si>
    <t>Report #3 bridge</t>
  </si>
  <si>
    <t>Cite Guardia, Magyar, Parmar, Ma, and Rebolledo-Leiva when motivating apple-pomace hydrolysis/fermentation and residual-stream treatment.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</si>
</sst>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name val="Calibri"/>
      <charset val="1"/>
    </font>
    <font>
      <b/>
      <sz val="10"/>
      <color rgb="FF006100"/>
      <name val="Arial"/>
      <charset val="1"/>
    </font>
    <font>
      <b/>
      <sz val="11"/>
      <color rgb="FF2F6F63"/>
      <name val="Arial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2F6F63"/>
      <name val="Arial"/>
      <charset val="1"/>
    </font>
    <font>
      <sz val="9"/>
      <name val="Arial"/>
      <charset val="1"/>
    </font>
    <font>
      <b/>
      <sz val="15"/>
      <color rgb="FF2F6F63"/>
      <name val="Arial"/>
      <charset val="1"/>
    </font>
    <font>
      <i/>
      <sz val="10"/>
      <color rgb="FF555555"/>
      <name val="Arial"/>
      <charset val="1"/>
    </font>
    <font>
      <b/>
      <sz val="10"/>
      <color rgb="FF1F1F1F"/>
      <name val="Arial"/>
      <charset val="1"/>
    </font>
    <font>
      <sz val="9"/>
      <color rgb="FF222222"/>
      <name val="Arial"/>
      <charset val="1"/>
    </font>
    <font>
      <b/>
      <sz val="12"/>
      <color rgb="FF2F6F63"/>
      <name val="Arial"/>
      <charset val="1"/>
    </font>
    <font>
      <b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3F6FA"/>
        <bgColor rgb="FFF2F7F5"/>
      </patternFill>
    </fill>
    <fill>
      <patternFill patternType="solid">
        <fgColor rgb="FFDDEBF7"/>
        <bgColor rgb="FFDDEFEA"/>
      </patternFill>
    </fill>
    <fill>
      <patternFill patternType="solid">
        <fgColor rgb="FFFFF2CC"/>
        <bgColor rgb="FFF2F7F5"/>
      </patternFill>
    </fill>
    <fill>
      <patternFill patternType="solid">
        <fgColor rgb="FF1F4E78"/>
        <bgColor rgb="FF156082"/>
      </patternFill>
    </fill>
    <fill>
      <patternFill patternType="solid">
        <fgColor rgb="FFEAF3F8"/>
        <bgColor rgb="FFF2F7F5"/>
      </patternFill>
    </fill>
    <fill>
      <patternFill patternType="solid">
        <fgColor rgb="FFF2F7F5"/>
        <bgColor rgb="FFF3F6FA"/>
      </patternFill>
    </fill>
    <fill>
      <patternFill patternType="solid">
        <fgColor rgb="FFDDEFEA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6" fillId="6" borderId="0" xfId="0" applyFont="1" applyFill="1"/>
    <xf numFmtId="0" fontId="13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6" fillId="0" borderId="0" xfId="0" applyFont="1"/>
    <xf numFmtId="0" fontId="3" fillId="2" borderId="0" xfId="0" applyFont="1" applyFill="1"/>
    <xf numFmtId="0" fontId="0" fillId="0" borderId="0" xfId="0"/>
    <xf numFmtId="0" fontId="0" fillId="2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1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2" fontId="0" fillId="0" borderId="0" xfId="0" applyNumberFormat="1"/>
    <xf numFmtId="2" fontId="0" fillId="3" borderId="0" xfId="0" applyNumberFormat="1" applyFill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0" fontId="4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10" fontId="0" fillId="0" borderId="0" xfId="0" applyNumberForma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 applyAlignment="1">
      <alignment horizontal="center" vertical="center" wrapText="1"/>
    </xf>
    <xf numFmtId="0" fontId="10" fillId="6" borderId="2" xfId="0" applyFont="1" applyFill="1" applyBorder="1"/>
    <xf numFmtId="0" fontId="0" fillId="6" borderId="2" xfId="0" applyFill="1" applyBorder="1"/>
    <xf numFmtId="0" fontId="11" fillId="0" borderId="2" xfId="0" applyFont="1" applyBorder="1" applyAlignment="1">
      <alignment vertical="top" wrapText="1"/>
    </xf>
    <xf numFmtId="0" fontId="11" fillId="7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7" fillId="0" borderId="2" xfId="0" applyFont="1" applyBorder="1"/>
    <xf numFmtId="0" fontId="0" fillId="0" borderId="2" xfId="0" applyBorder="1"/>
    <xf numFmtId="0" fontId="17" fillId="7" borderId="2" xfId="0" applyFont="1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6082"/>
      <rgbColor rgb="FFBFBFBF"/>
      <rgbColor rgb="FF808080"/>
      <rgbColor rgb="FF9999FF"/>
      <rgbColor rgb="FFA02B93"/>
      <rgbColor rgb="FFFFF2CC"/>
      <rgbColor rgb="FFDDEF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F6F63"/>
      <rgbColor rgb="FF0000FF"/>
      <rgbColor rgb="FF0F9ED5"/>
      <rgbColor rgb="FFDDEBF7"/>
      <rgbColor rgb="FFEAF3F8"/>
      <rgbColor rgb="FFF2F7F5"/>
      <rgbColor rgb="FFF3F6FA"/>
      <rgbColor rgb="FFFF99CC"/>
      <rgbColor rgb="FFCC99FF"/>
      <rgbColor rgb="FFD9E2E1"/>
      <rgbColor rgb="FF3366FF"/>
      <rgbColor rgb="FF33CCCC"/>
      <rgbColor rgb="FF99CC00"/>
      <rgbColor rgb="FFFFCC00"/>
      <rgbColor rgb="FFFF9900"/>
      <rgbColor rgb="FFE97132"/>
      <rgbColor rgb="FF555555"/>
      <rgbColor rgb="FF969696"/>
      <rgbColor rgb="FF003366"/>
      <rgbColor rgb="FF196B24"/>
      <rgbColor rgb="FF003300"/>
      <rgbColor rgb="FF1F1F1F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Assumed City Gas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mol %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5F-42F2-AAC1-C2AA8D3533B2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75F-42F2-AAC1-C2AA8D3533B2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75F-42F2-AAC1-C2AA8D3533B2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75F-42F2-AAC1-C2AA8D3533B2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75F-42F2-AAC1-C2AA8D3533B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75F-42F2-AAC1-C2AA8D3533B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75F-42F2-AAC1-C2AA8D3533B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75F-42F2-AAC1-C2AA8D3533B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75F-42F2-AAC1-C2AA8D3533B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75F-42F2-AAC1-C2AA8D353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Product_Calcs!$I$4:$I$8</c:f>
              <c:strCache>
                <c:ptCount val="5"/>
                <c:pt idx="0">
                  <c:v>H2</c:v>
                </c:pt>
                <c:pt idx="1">
                  <c:v>CO</c:v>
                </c:pt>
                <c:pt idx="2">
                  <c:v>CO2</c:v>
                </c:pt>
                <c:pt idx="3">
                  <c:v>CH4</c:v>
                </c:pt>
                <c:pt idx="4">
                  <c:v>N2</c:v>
                </c:pt>
              </c:strCache>
            </c:strRef>
          </c:cat>
          <c:val>
            <c:numRef>
              <c:f>Product_Calcs!$J$4:$J$8</c:f>
              <c:numCache>
                <c:formatCode>General</c:formatCode>
                <c:ptCount val="5"/>
                <c:pt idx="0">
                  <c:v>50</c:v>
                </c:pt>
                <c:pt idx="1">
                  <c:v>40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5F-42F2-AAC1-C2AA8D353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140760</xdr:rowOff>
    </xdr:from>
    <xdr:to>
      <xdr:col>13</xdr:col>
      <xdr:colOff>610560</xdr:colOff>
      <xdr:row>24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earchPapersCitationMap" displayName="ResearchPapersCitationMap" ref="A4:G11" totalsRowShown="0">
  <autoFilter ref="A4:G11" xr:uid="{00000000-0009-0000-0100-000001000000}"/>
  <tableColumns count="7">
    <tableColumn id="1" xr3:uid="{00000000-0010-0000-0000-000001000000}" name="Citation ID"/>
    <tableColumn id="2" xr3:uid="{00000000-0010-0000-0000-000002000000}" name="Source category"/>
    <tableColumn id="3" xr3:uid="{00000000-0010-0000-0000-000003000000}" name="Reference / ACS starter"/>
    <tableColumn id="4" xr3:uid="{00000000-0010-0000-0000-000004000000}" name="Key support for report"/>
    <tableColumn id="5" xr3:uid="{00000000-0010-0000-0000-000005000000}" name="Where to cite"/>
    <tableColumn id="6" xr3:uid="{00000000-0010-0000-0000-000006000000}" name="Zotero key"/>
    <tableColumn id="7" xr3:uid="{00000000-0010-0000-0000-000007000000}" name="DOI / 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A3" zoomScaleNormal="100" workbookViewId="0">
      <selection activeCell="A2" sqref="A2"/>
    </sheetView>
  </sheetViews>
  <sheetFormatPr defaultColWidth="8.6328125" defaultRowHeight="14.5" x14ac:dyDescent="0.35"/>
  <cols>
    <col min="1" max="1" width="24" customWidth="1"/>
    <col min="2" max="2" width="9" customWidth="1"/>
    <col min="3" max="4" width="42" customWidth="1"/>
    <col min="5" max="5" width="13" customWidth="1"/>
    <col min="6" max="6" width="12" customWidth="1"/>
    <col min="7" max="7" width="14" customWidth="1"/>
    <col min="8" max="8" width="42" customWidth="1"/>
  </cols>
  <sheetData>
    <row r="1" spans="1:8" x14ac:dyDescent="0.3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35">
      <c r="A2" s="8" t="s">
        <v>1</v>
      </c>
      <c r="B2" s="8"/>
      <c r="C2" s="8"/>
      <c r="D2" s="8"/>
      <c r="E2" s="8"/>
      <c r="F2" s="8"/>
      <c r="G2" s="8"/>
      <c r="H2" s="8"/>
    </row>
    <row r="4" spans="1:8" x14ac:dyDescent="0.3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</row>
    <row r="5" spans="1:8" x14ac:dyDescent="0.35">
      <c r="A5" s="11" t="s">
        <v>10</v>
      </c>
      <c r="B5" s="12">
        <v>10</v>
      </c>
      <c r="C5" s="11" t="s">
        <v>11</v>
      </c>
      <c r="D5" s="11" t="s">
        <v>12</v>
      </c>
      <c r="E5" s="13" t="s">
        <v>13</v>
      </c>
      <c r="F5" s="11" t="s">
        <v>14</v>
      </c>
      <c r="G5" s="11" t="s">
        <v>15</v>
      </c>
      <c r="H5" s="11" t="s">
        <v>16</v>
      </c>
    </row>
    <row r="6" spans="1:8" x14ac:dyDescent="0.35">
      <c r="A6" s="11" t="s">
        <v>17</v>
      </c>
      <c r="B6" s="12">
        <v>10</v>
      </c>
      <c r="C6" s="11" t="s">
        <v>18</v>
      </c>
      <c r="D6" s="11" t="s">
        <v>19</v>
      </c>
      <c r="E6" s="13" t="s">
        <v>13</v>
      </c>
      <c r="F6" s="11" t="s">
        <v>14</v>
      </c>
      <c r="G6" s="11" t="s">
        <v>15</v>
      </c>
      <c r="H6" s="11" t="s">
        <v>20</v>
      </c>
    </row>
    <row r="7" spans="1:8" x14ac:dyDescent="0.35">
      <c r="A7" s="11" t="s">
        <v>21</v>
      </c>
      <c r="B7" s="12">
        <v>30</v>
      </c>
      <c r="C7" s="11" t="s">
        <v>22</v>
      </c>
      <c r="D7" s="11" t="s">
        <v>23</v>
      </c>
      <c r="E7" s="13" t="s">
        <v>13</v>
      </c>
      <c r="F7" s="11" t="s">
        <v>14</v>
      </c>
      <c r="G7" s="11" t="s">
        <v>15</v>
      </c>
      <c r="H7" s="11" t="s">
        <v>24</v>
      </c>
    </row>
    <row r="8" spans="1:8" x14ac:dyDescent="0.35">
      <c r="A8" s="11" t="s">
        <v>25</v>
      </c>
      <c r="B8" s="12">
        <v>20</v>
      </c>
      <c r="C8" s="11" t="s">
        <v>26</v>
      </c>
      <c r="D8" s="11" t="s">
        <v>27</v>
      </c>
      <c r="E8" s="13" t="s">
        <v>28</v>
      </c>
      <c r="F8" s="11" t="s">
        <v>14</v>
      </c>
      <c r="G8" s="11" t="s">
        <v>15</v>
      </c>
      <c r="H8" s="11" t="s">
        <v>29</v>
      </c>
    </row>
    <row r="9" spans="1:8" x14ac:dyDescent="0.35">
      <c r="A9" s="11" t="s">
        <v>30</v>
      </c>
      <c r="B9" s="12">
        <v>20</v>
      </c>
      <c r="C9" s="11" t="s">
        <v>31</v>
      </c>
      <c r="D9" s="11" t="s">
        <v>32</v>
      </c>
      <c r="E9" s="13" t="s">
        <v>33</v>
      </c>
      <c r="F9" s="11" t="s">
        <v>14</v>
      </c>
      <c r="G9" s="11" t="s">
        <v>15</v>
      </c>
      <c r="H9" s="11" t="s">
        <v>34</v>
      </c>
    </row>
    <row r="10" spans="1:8" x14ac:dyDescent="0.35">
      <c r="A10" s="11" t="s">
        <v>35</v>
      </c>
      <c r="B10" s="12">
        <v>10</v>
      </c>
      <c r="C10" s="11" t="s">
        <v>36</v>
      </c>
      <c r="D10" s="11" t="s">
        <v>37</v>
      </c>
      <c r="E10" s="13" t="s">
        <v>38</v>
      </c>
      <c r="F10" s="11" t="s">
        <v>14</v>
      </c>
      <c r="G10" s="11" t="s">
        <v>15</v>
      </c>
      <c r="H10" s="11" t="s">
        <v>39</v>
      </c>
    </row>
    <row r="11" spans="1:8" x14ac:dyDescent="0.35">
      <c r="A11" s="11"/>
      <c r="B11" s="12"/>
      <c r="C11" s="11"/>
      <c r="D11" s="11"/>
      <c r="E11" s="14"/>
      <c r="F11" s="11"/>
      <c r="G11" s="11"/>
      <c r="H11" s="11"/>
    </row>
    <row r="12" spans="1:8" ht="195.75" customHeight="1" x14ac:dyDescent="0.35">
      <c r="A12" s="15" t="s">
        <v>40</v>
      </c>
      <c r="B12" s="16" t="s">
        <v>41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30" customWidth="1"/>
    <col min="3" max="3" width="26" customWidth="1"/>
    <col min="4" max="4" width="14" customWidth="1"/>
    <col min="5" max="5" width="30" customWidth="1"/>
    <col min="6" max="6" width="50" customWidth="1"/>
  </cols>
  <sheetData>
    <row r="1" spans="1:6" x14ac:dyDescent="0.35">
      <c r="A1" s="9" t="s">
        <v>42</v>
      </c>
      <c r="B1" s="9"/>
      <c r="C1" s="9"/>
      <c r="D1" s="9"/>
      <c r="E1" s="9"/>
      <c r="F1" s="9"/>
    </row>
    <row r="3" spans="1:6" x14ac:dyDescent="0.35">
      <c r="A3" s="10" t="s">
        <v>43</v>
      </c>
      <c r="B3" s="10" t="s">
        <v>44</v>
      </c>
      <c r="C3" s="10" t="s">
        <v>45</v>
      </c>
      <c r="D3" s="10" t="s">
        <v>46</v>
      </c>
      <c r="E3" s="10" t="s">
        <v>47</v>
      </c>
      <c r="F3" s="10" t="s">
        <v>48</v>
      </c>
    </row>
    <row r="4" spans="1:6" x14ac:dyDescent="0.35">
      <c r="A4" s="11" t="s">
        <v>49</v>
      </c>
      <c r="B4" s="11" t="s">
        <v>50</v>
      </c>
      <c r="C4" s="11" t="s">
        <v>51</v>
      </c>
      <c r="D4" s="11"/>
      <c r="E4" s="11" t="s">
        <v>52</v>
      </c>
      <c r="F4" s="11" t="s">
        <v>53</v>
      </c>
    </row>
    <row r="5" spans="1:6" x14ac:dyDescent="0.35">
      <c r="A5" s="11" t="s">
        <v>49</v>
      </c>
      <c r="B5" s="11" t="s">
        <v>54</v>
      </c>
      <c r="C5" s="11">
        <v>170000</v>
      </c>
      <c r="D5" s="11" t="s">
        <v>55</v>
      </c>
      <c r="E5" s="11" t="s">
        <v>56</v>
      </c>
      <c r="F5" s="11" t="s">
        <v>57</v>
      </c>
    </row>
    <row r="6" spans="1:6" x14ac:dyDescent="0.35">
      <c r="A6" s="11" t="s">
        <v>49</v>
      </c>
      <c r="B6" s="11" t="s">
        <v>58</v>
      </c>
      <c r="C6" s="11" t="s">
        <v>59</v>
      </c>
      <c r="D6" s="11"/>
      <c r="E6" s="11" t="s">
        <v>60</v>
      </c>
      <c r="F6" s="11" t="s">
        <v>61</v>
      </c>
    </row>
    <row r="7" spans="1:6" x14ac:dyDescent="0.35">
      <c r="A7" s="11" t="s">
        <v>62</v>
      </c>
      <c r="B7" s="11" t="s">
        <v>63</v>
      </c>
      <c r="C7" s="17" t="s">
        <v>64</v>
      </c>
      <c r="D7" s="11"/>
      <c r="E7" s="11" t="s">
        <v>65</v>
      </c>
      <c r="F7" s="11" t="s">
        <v>66</v>
      </c>
    </row>
    <row r="8" spans="1:6" x14ac:dyDescent="0.35">
      <c r="A8" s="11" t="s">
        <v>62</v>
      </c>
      <c r="B8" s="11" t="s">
        <v>67</v>
      </c>
      <c r="C8" s="17">
        <v>7100</v>
      </c>
      <c r="D8" s="11" t="s">
        <v>68</v>
      </c>
      <c r="E8" s="11" t="s">
        <v>69</v>
      </c>
      <c r="F8" s="11" t="s">
        <v>70</v>
      </c>
    </row>
    <row r="9" spans="1:6" x14ac:dyDescent="0.35">
      <c r="A9" s="11" t="s">
        <v>62</v>
      </c>
      <c r="B9" s="11" t="s">
        <v>71</v>
      </c>
      <c r="C9" s="17">
        <v>20</v>
      </c>
      <c r="D9" s="11" t="s">
        <v>72</v>
      </c>
      <c r="E9" s="11" t="s">
        <v>73</v>
      </c>
      <c r="F9" s="11"/>
    </row>
    <row r="10" spans="1:6" x14ac:dyDescent="0.35">
      <c r="A10" s="11" t="s">
        <v>62</v>
      </c>
      <c r="B10" s="11" t="s">
        <v>74</v>
      </c>
      <c r="C10" s="17">
        <v>33</v>
      </c>
      <c r="D10" s="11" t="s">
        <v>72</v>
      </c>
      <c r="E10" s="11" t="s">
        <v>73</v>
      </c>
      <c r="F10" s="11"/>
    </row>
    <row r="11" spans="1:6" x14ac:dyDescent="0.35">
      <c r="A11" s="11" t="s">
        <v>62</v>
      </c>
      <c r="B11" s="11" t="s">
        <v>75</v>
      </c>
      <c r="C11" s="11">
        <v>37</v>
      </c>
      <c r="D11" s="11" t="s">
        <v>72</v>
      </c>
      <c r="E11" s="11" t="s">
        <v>73</v>
      </c>
      <c r="F11" s="11"/>
    </row>
    <row r="12" spans="1:6" x14ac:dyDescent="0.35">
      <c r="A12" s="11" t="s">
        <v>62</v>
      </c>
      <c r="B12" s="11" t="s">
        <v>76</v>
      </c>
      <c r="C12" s="11">
        <v>10</v>
      </c>
      <c r="D12" s="11" t="s">
        <v>72</v>
      </c>
      <c r="E12" s="11" t="s">
        <v>73</v>
      </c>
      <c r="F12" s="11"/>
    </row>
    <row r="13" spans="1:6" x14ac:dyDescent="0.35">
      <c r="A13" s="11" t="s">
        <v>62</v>
      </c>
      <c r="B13" s="11" t="s">
        <v>77</v>
      </c>
      <c r="C13" s="11">
        <v>20</v>
      </c>
      <c r="D13" s="11" t="s">
        <v>78</v>
      </c>
      <c r="E13" s="11" t="s">
        <v>79</v>
      </c>
      <c r="F13" s="11" t="s">
        <v>80</v>
      </c>
    </row>
    <row r="14" spans="1:6" x14ac:dyDescent="0.35">
      <c r="A14" s="11" t="s">
        <v>81</v>
      </c>
      <c r="B14" s="11" t="s">
        <v>82</v>
      </c>
      <c r="C14" s="11">
        <v>10.3</v>
      </c>
      <c r="D14" s="11" t="s">
        <v>83</v>
      </c>
      <c r="E14" s="11" t="s">
        <v>84</v>
      </c>
      <c r="F14" s="11" t="s">
        <v>85</v>
      </c>
    </row>
    <row r="15" spans="1:6" x14ac:dyDescent="0.35">
      <c r="A15" s="11" t="s">
        <v>81</v>
      </c>
      <c r="B15" s="11" t="s">
        <v>86</v>
      </c>
      <c r="C15" s="11">
        <v>184</v>
      </c>
      <c r="D15" s="11" t="s">
        <v>87</v>
      </c>
      <c r="E15" s="11" t="s">
        <v>84</v>
      </c>
      <c r="F15" s="11" t="s">
        <v>88</v>
      </c>
    </row>
    <row r="16" spans="1:6" x14ac:dyDescent="0.35">
      <c r="A16" s="11" t="s">
        <v>81</v>
      </c>
      <c r="B16" s="11" t="s">
        <v>89</v>
      </c>
      <c r="C16" s="11">
        <v>6250</v>
      </c>
      <c r="D16" s="11" t="s">
        <v>68</v>
      </c>
      <c r="E16" s="11" t="s">
        <v>84</v>
      </c>
      <c r="F16" s="11" t="s">
        <v>90</v>
      </c>
    </row>
    <row r="17" spans="1:6" x14ac:dyDescent="0.35">
      <c r="A17" s="11" t="s">
        <v>91</v>
      </c>
      <c r="B17" s="11" t="s">
        <v>92</v>
      </c>
      <c r="C17" s="11">
        <v>0.21</v>
      </c>
      <c r="D17" s="11" t="s">
        <v>93</v>
      </c>
      <c r="E17" s="11" t="s">
        <v>94</v>
      </c>
      <c r="F17" s="11"/>
    </row>
    <row r="18" spans="1:6" x14ac:dyDescent="0.35">
      <c r="A18" s="11" t="s">
        <v>91</v>
      </c>
      <c r="B18" s="11" t="s">
        <v>95</v>
      </c>
      <c r="C18" s="18">
        <v>0.79</v>
      </c>
      <c r="D18" s="11" t="s">
        <v>93</v>
      </c>
      <c r="E18" s="11" t="s">
        <v>94</v>
      </c>
      <c r="F18" s="11" t="s">
        <v>96</v>
      </c>
    </row>
    <row r="19" spans="1:6" x14ac:dyDescent="0.35">
      <c r="A19" s="11" t="s">
        <v>97</v>
      </c>
      <c r="B19" s="11" t="s">
        <v>98</v>
      </c>
      <c r="C19" s="18">
        <v>10</v>
      </c>
      <c r="D19" s="11" t="s">
        <v>87</v>
      </c>
      <c r="E19" s="11" t="s">
        <v>99</v>
      </c>
      <c r="F19" s="11" t="s">
        <v>100</v>
      </c>
    </row>
    <row r="20" spans="1:6" x14ac:dyDescent="0.35">
      <c r="A20" s="11" t="s">
        <v>101</v>
      </c>
      <c r="B20" s="11" t="s">
        <v>102</v>
      </c>
      <c r="C20" s="18">
        <v>0.5</v>
      </c>
      <c r="D20" s="11" t="s">
        <v>93</v>
      </c>
      <c r="E20" s="11" t="s">
        <v>103</v>
      </c>
      <c r="F20" s="11" t="s">
        <v>104</v>
      </c>
    </row>
    <row r="21" spans="1:6" x14ac:dyDescent="0.35">
      <c r="A21" s="11" t="s">
        <v>101</v>
      </c>
      <c r="B21" s="11" t="s">
        <v>105</v>
      </c>
      <c r="C21" s="18">
        <v>0.4</v>
      </c>
      <c r="D21" s="11" t="s">
        <v>93</v>
      </c>
      <c r="E21" s="11" t="s">
        <v>103</v>
      </c>
      <c r="F21" s="11" t="s">
        <v>104</v>
      </c>
    </row>
    <row r="22" spans="1:6" x14ac:dyDescent="0.35">
      <c r="A22" s="11" t="s">
        <v>101</v>
      </c>
      <c r="B22" s="11" t="s">
        <v>106</v>
      </c>
      <c r="C22" s="18">
        <v>0.05</v>
      </c>
      <c r="D22" s="11" t="s">
        <v>93</v>
      </c>
      <c r="E22" s="11" t="s">
        <v>103</v>
      </c>
      <c r="F22" s="11" t="s">
        <v>104</v>
      </c>
    </row>
    <row r="23" spans="1:6" x14ac:dyDescent="0.35">
      <c r="A23" s="11" t="s">
        <v>101</v>
      </c>
      <c r="B23" s="11" t="s">
        <v>107</v>
      </c>
      <c r="C23" s="11">
        <v>0.03</v>
      </c>
      <c r="D23" s="11" t="s">
        <v>93</v>
      </c>
      <c r="E23" s="11" t="s">
        <v>108</v>
      </c>
      <c r="F23" s="11" t="s">
        <v>109</v>
      </c>
    </row>
    <row r="24" spans="1:6" x14ac:dyDescent="0.35">
      <c r="A24" s="11" t="s">
        <v>101</v>
      </c>
      <c r="B24" s="11" t="s">
        <v>110</v>
      </c>
      <c r="C24" s="11">
        <v>0.02</v>
      </c>
      <c r="D24" s="11" t="s">
        <v>93</v>
      </c>
      <c r="E24" s="11" t="s">
        <v>108</v>
      </c>
      <c r="F24" s="11" t="s">
        <v>109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15" customWidth="1"/>
    <col min="3" max="3" width="18" customWidth="1"/>
    <col min="4" max="4" width="14" customWidth="1"/>
    <col min="5" max="5" width="28" customWidth="1"/>
    <col min="6" max="6" width="16" customWidth="1"/>
    <col min="7" max="7" width="38" customWidth="1"/>
    <col min="9" max="10" width="12" customWidth="1"/>
  </cols>
  <sheetData>
    <row r="1" spans="1:10" x14ac:dyDescent="0.35">
      <c r="A1" s="9" t="s">
        <v>111</v>
      </c>
      <c r="B1" s="9"/>
      <c r="C1" s="9"/>
      <c r="D1" s="9"/>
      <c r="E1" s="9"/>
      <c r="F1" s="9"/>
      <c r="G1" s="9"/>
    </row>
    <row r="2" spans="1:10" x14ac:dyDescent="0.35">
      <c r="F2" s="19"/>
    </row>
    <row r="3" spans="1:10" x14ac:dyDescent="0.35">
      <c r="A3" s="10" t="s">
        <v>112</v>
      </c>
      <c r="B3" s="10" t="s">
        <v>113</v>
      </c>
      <c r="C3" s="10" t="s">
        <v>114</v>
      </c>
      <c r="D3" s="10" t="s">
        <v>46</v>
      </c>
      <c r="E3" s="10" t="s">
        <v>115</v>
      </c>
      <c r="F3" s="20" t="s">
        <v>116</v>
      </c>
      <c r="G3" s="10" t="s">
        <v>9</v>
      </c>
      <c r="I3" s="10" t="s">
        <v>117</v>
      </c>
      <c r="J3" s="10" t="s">
        <v>118</v>
      </c>
    </row>
    <row r="4" spans="1:10" x14ac:dyDescent="0.35">
      <c r="A4" s="11" t="s">
        <v>119</v>
      </c>
      <c r="B4" s="11" t="s">
        <v>120</v>
      </c>
      <c r="C4" s="11">
        <v>170000</v>
      </c>
      <c r="D4" s="11" t="s">
        <v>55</v>
      </c>
      <c r="E4" s="11"/>
      <c r="F4" s="18">
        <v>170000</v>
      </c>
      <c r="G4" s="11" t="s">
        <v>121</v>
      </c>
      <c r="I4" t="s">
        <v>102</v>
      </c>
      <c r="J4">
        <v>50</v>
      </c>
    </row>
    <row r="5" spans="1:10" x14ac:dyDescent="0.35">
      <c r="A5" s="11" t="s">
        <v>119</v>
      </c>
      <c r="B5" s="11" t="s">
        <v>122</v>
      </c>
      <c r="C5" s="11"/>
      <c r="D5" s="11" t="s">
        <v>123</v>
      </c>
      <c r="E5" s="11">
        <f>F4/24</f>
        <v>7083.333333333333</v>
      </c>
      <c r="F5" s="18">
        <f>F4/24</f>
        <v>7083.333333333333</v>
      </c>
      <c r="G5" s="11"/>
      <c r="I5" t="s">
        <v>105</v>
      </c>
      <c r="J5">
        <v>40</v>
      </c>
    </row>
    <row r="6" spans="1:10" x14ac:dyDescent="0.35">
      <c r="A6" s="11" t="s">
        <v>124</v>
      </c>
      <c r="B6" s="11" t="s">
        <v>125</v>
      </c>
      <c r="C6" s="11">
        <v>22.414000000000001</v>
      </c>
      <c r="D6" s="11" t="s">
        <v>126</v>
      </c>
      <c r="E6" s="11"/>
      <c r="F6" s="18">
        <v>22.414000000000001</v>
      </c>
      <c r="G6" s="11" t="s">
        <v>127</v>
      </c>
      <c r="I6" t="s">
        <v>106</v>
      </c>
      <c r="J6">
        <v>5</v>
      </c>
    </row>
    <row r="7" spans="1:10" x14ac:dyDescent="0.35">
      <c r="A7" s="11" t="s">
        <v>128</v>
      </c>
      <c r="B7" s="11" t="s">
        <v>129</v>
      </c>
      <c r="C7" s="11"/>
      <c r="D7" s="11" t="s">
        <v>130</v>
      </c>
      <c r="E7" s="11">
        <f>F5/F6</f>
        <v>316.02272389280506</v>
      </c>
      <c r="F7" s="18">
        <f>F5/F6</f>
        <v>316.02272389280506</v>
      </c>
      <c r="G7" s="11"/>
      <c r="I7" t="s">
        <v>107</v>
      </c>
      <c r="J7">
        <v>3</v>
      </c>
    </row>
    <row r="8" spans="1:10" x14ac:dyDescent="0.35">
      <c r="A8" s="11" t="s">
        <v>131</v>
      </c>
      <c r="B8" s="11" t="s">
        <v>132</v>
      </c>
      <c r="C8" s="11">
        <v>0.5</v>
      </c>
      <c r="D8" s="11" t="s">
        <v>133</v>
      </c>
      <c r="E8" s="11"/>
      <c r="F8" s="18">
        <v>0.5</v>
      </c>
      <c r="G8" s="11"/>
      <c r="I8" t="s">
        <v>110</v>
      </c>
      <c r="J8">
        <v>2</v>
      </c>
    </row>
    <row r="9" spans="1:10" x14ac:dyDescent="0.35">
      <c r="A9" s="11" t="s">
        <v>134</v>
      </c>
      <c r="B9" s="11" t="s">
        <v>135</v>
      </c>
      <c r="C9" s="11">
        <v>0.4</v>
      </c>
      <c r="D9" s="11" t="s">
        <v>133</v>
      </c>
      <c r="E9" s="11"/>
      <c r="F9" s="18">
        <v>0.4</v>
      </c>
      <c r="G9" s="11"/>
    </row>
    <row r="10" spans="1:10" x14ac:dyDescent="0.35">
      <c r="A10" s="11" t="s">
        <v>136</v>
      </c>
      <c r="B10" s="11" t="s">
        <v>137</v>
      </c>
      <c r="C10" s="11">
        <v>0.05</v>
      </c>
      <c r="D10" s="11" t="s">
        <v>133</v>
      </c>
      <c r="E10" s="11"/>
      <c r="F10" s="18">
        <v>0.05</v>
      </c>
      <c r="G10" s="11"/>
    </row>
    <row r="11" spans="1:10" x14ac:dyDescent="0.35">
      <c r="A11" s="11" t="s">
        <v>138</v>
      </c>
      <c r="B11" s="11" t="s">
        <v>139</v>
      </c>
      <c r="C11" s="11">
        <v>0.03</v>
      </c>
      <c r="D11" s="11" t="s">
        <v>133</v>
      </c>
      <c r="E11" s="11"/>
      <c r="F11" s="18">
        <v>0.03</v>
      </c>
      <c r="G11" s="11"/>
    </row>
    <row r="12" spans="1:10" x14ac:dyDescent="0.35">
      <c r="A12" s="11" t="s">
        <v>140</v>
      </c>
      <c r="B12" s="11" t="s">
        <v>141</v>
      </c>
      <c r="C12" s="11">
        <v>0.02</v>
      </c>
      <c r="D12" s="11" t="s">
        <v>133</v>
      </c>
      <c r="E12" s="11"/>
      <c r="F12" s="18">
        <v>0.02</v>
      </c>
      <c r="G12" s="11"/>
    </row>
    <row r="13" spans="1:10" x14ac:dyDescent="0.35">
      <c r="A13" s="11" t="s">
        <v>142</v>
      </c>
      <c r="B13" s="11" t="s">
        <v>143</v>
      </c>
      <c r="C13" s="11"/>
      <c r="D13" s="11" t="s">
        <v>133</v>
      </c>
      <c r="E13" s="11">
        <f>SUM(F8:F12)</f>
        <v>1</v>
      </c>
      <c r="F13" s="18">
        <f>SUM(F8:F12)</f>
        <v>1</v>
      </c>
      <c r="G13" s="11" t="s">
        <v>144</v>
      </c>
    </row>
    <row r="14" spans="1:10" x14ac:dyDescent="0.35">
      <c r="A14" s="11" t="s">
        <v>145</v>
      </c>
      <c r="B14" s="11" t="s">
        <v>146</v>
      </c>
      <c r="C14" s="11"/>
      <c r="D14" s="11" t="s">
        <v>147</v>
      </c>
      <c r="E14" s="11">
        <f>SUM(F8*2.016,F9*28.01,F10*44.01,F11*16.04,F12*28.014)</f>
        <v>15.45398</v>
      </c>
      <c r="F14" s="18">
        <f>SUM(F8*2.016,F9*28.01,F10*44.01,F11*16.04,F12*28.014)</f>
        <v>15.45398</v>
      </c>
      <c r="G14" s="11" t="s">
        <v>148</v>
      </c>
    </row>
    <row r="15" spans="1:10" x14ac:dyDescent="0.35">
      <c r="A15" s="11" t="s">
        <v>149</v>
      </c>
      <c r="B15" s="11" t="s">
        <v>150</v>
      </c>
      <c r="C15" s="11"/>
      <c r="D15" s="11" t="s">
        <v>68</v>
      </c>
      <c r="E15" s="11">
        <f>F7*F14</f>
        <v>4883.8088545849314</v>
      </c>
      <c r="F15" s="18">
        <f>F7*F14</f>
        <v>4883.8088545849314</v>
      </c>
      <c r="G15" s="11"/>
    </row>
    <row r="16" spans="1:10" x14ac:dyDescent="0.35">
      <c r="A16" s="11" t="s">
        <v>149</v>
      </c>
      <c r="B16" s="11" t="s">
        <v>151</v>
      </c>
      <c r="C16" s="11"/>
      <c r="D16" s="11" t="s">
        <v>152</v>
      </c>
      <c r="E16" s="11">
        <f>F15*24/1000</f>
        <v>117.21141251003836</v>
      </c>
      <c r="F16" s="18">
        <f>F15*24/1000</f>
        <v>117.21141251003836</v>
      </c>
      <c r="G16" s="11"/>
    </row>
    <row r="17" spans="1:7" x14ac:dyDescent="0.35">
      <c r="A17" s="11" t="s">
        <v>153</v>
      </c>
      <c r="B17" s="11" t="s">
        <v>154</v>
      </c>
      <c r="C17" s="11">
        <v>12</v>
      </c>
      <c r="D17" s="11" t="s">
        <v>155</v>
      </c>
      <c r="E17" s="11"/>
      <c r="F17" s="18">
        <v>12</v>
      </c>
      <c r="G17" s="11" t="s">
        <v>156</v>
      </c>
    </row>
    <row r="18" spans="1:7" x14ac:dyDescent="0.35">
      <c r="A18" s="11" t="s">
        <v>157</v>
      </c>
      <c r="B18" s="11" t="s">
        <v>158</v>
      </c>
      <c r="C18" s="11"/>
      <c r="D18" s="11" t="s">
        <v>159</v>
      </c>
      <c r="E18" s="11">
        <f>F5*F17/1000</f>
        <v>85</v>
      </c>
      <c r="F18" s="18">
        <f>F5*F17/1000</f>
        <v>85</v>
      </c>
      <c r="G18" s="11"/>
    </row>
    <row r="19" spans="1:7" x14ac:dyDescent="0.35">
      <c r="A19" s="11" t="s">
        <v>157</v>
      </c>
      <c r="B19" s="11" t="s">
        <v>160</v>
      </c>
      <c r="C19" s="11"/>
      <c r="D19" s="11" t="s">
        <v>161</v>
      </c>
      <c r="E19" s="11">
        <f>F18*24/1000</f>
        <v>2.04</v>
      </c>
      <c r="F19" s="18">
        <f>F18*24/1000</f>
        <v>2.04</v>
      </c>
      <c r="G19" s="11"/>
    </row>
    <row r="20" spans="1:7" x14ac:dyDescent="0.35">
      <c r="A20" s="11" t="s">
        <v>162</v>
      </c>
      <c r="B20" s="11" t="s">
        <v>163</v>
      </c>
      <c r="C20" s="11">
        <v>20</v>
      </c>
      <c r="D20" s="11" t="s">
        <v>78</v>
      </c>
      <c r="E20" s="11"/>
      <c r="F20" s="18">
        <v>20</v>
      </c>
      <c r="G20" s="11"/>
    </row>
    <row r="21" spans="1:7" x14ac:dyDescent="0.35">
      <c r="A21" s="11" t="s">
        <v>164</v>
      </c>
      <c r="B21" s="11" t="s">
        <v>165</v>
      </c>
      <c r="C21" s="11">
        <v>0.6</v>
      </c>
      <c r="D21" s="11" t="s">
        <v>133</v>
      </c>
      <c r="E21" s="11"/>
      <c r="F21" s="18">
        <v>0.6</v>
      </c>
      <c r="G21" s="11"/>
    </row>
    <row r="22" spans="1:7" x14ac:dyDescent="0.35">
      <c r="A22" s="11" t="s">
        <v>166</v>
      </c>
      <c r="B22" s="11" t="s">
        <v>167</v>
      </c>
      <c r="C22" s="11"/>
      <c r="D22" s="11" t="s">
        <v>68</v>
      </c>
      <c r="E22" s="11">
        <f>F18*1000/(F20*F21)</f>
        <v>7083.333333333333</v>
      </c>
      <c r="F22" s="18">
        <f>F18*1000/(F20*F21)</f>
        <v>7083.333333333333</v>
      </c>
      <c r="G22" s="11" t="s">
        <v>168</v>
      </c>
    </row>
    <row r="23" spans="1:7" x14ac:dyDescent="0.35">
      <c r="A23" s="11" t="s">
        <v>166</v>
      </c>
      <c r="B23" s="11" t="s">
        <v>169</v>
      </c>
      <c r="C23" s="11"/>
      <c r="D23" s="11" t="s">
        <v>152</v>
      </c>
      <c r="E23" s="11">
        <f>F22*24/1000</f>
        <v>170</v>
      </c>
      <c r="F23" s="18">
        <f>F22*24/1000</f>
        <v>170</v>
      </c>
      <c r="G23" s="11"/>
    </row>
    <row r="24" spans="1:7" x14ac:dyDescent="0.35">
      <c r="A24" s="11"/>
      <c r="B24" s="11"/>
      <c r="C24" s="11"/>
      <c r="D24" s="11"/>
      <c r="E24" s="11"/>
      <c r="F24" s="18"/>
      <c r="G24" s="11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Normal="100" workbookViewId="0"/>
  </sheetViews>
  <sheetFormatPr defaultColWidth="8.6328125" defaultRowHeight="14.5" x14ac:dyDescent="0.35"/>
  <cols>
    <col min="1" max="1" width="9" customWidth="1"/>
    <col min="2" max="2" width="35" customWidth="1"/>
    <col min="3" max="3" width="16" customWidth="1"/>
    <col min="4" max="5" width="14" customWidth="1"/>
    <col min="6" max="6" width="12" customWidth="1"/>
    <col min="7" max="9" width="8" customWidth="1"/>
    <col min="10" max="10" width="14" customWidth="1"/>
    <col min="11" max="12" width="22" customWidth="1"/>
    <col min="13" max="13" width="50" customWidth="1"/>
  </cols>
  <sheetData>
    <row r="1" spans="1:13" ht="16.5" x14ac:dyDescent="0.35">
      <c r="A1" s="7" t="s">
        <v>170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1.5" customHeight="1" x14ac:dyDescent="0.35">
      <c r="A2" s="21" t="s">
        <v>171</v>
      </c>
      <c r="B2" s="21" t="s">
        <v>172</v>
      </c>
      <c r="C2" s="21" t="s">
        <v>173</v>
      </c>
      <c r="D2" s="21" t="s">
        <v>174</v>
      </c>
      <c r="E2" s="21" t="s">
        <v>175</v>
      </c>
      <c r="F2" s="21" t="s">
        <v>176</v>
      </c>
      <c r="G2" s="21" t="s">
        <v>177</v>
      </c>
      <c r="H2" s="21" t="s">
        <v>178</v>
      </c>
      <c r="I2" s="21" t="s">
        <v>179</v>
      </c>
      <c r="J2" s="21" t="s">
        <v>180</v>
      </c>
      <c r="K2" s="21" t="s">
        <v>181</v>
      </c>
      <c r="L2" s="21" t="s">
        <v>182</v>
      </c>
      <c r="M2" s="21" t="s">
        <v>9</v>
      </c>
    </row>
    <row r="3" spans="1:13" ht="25" x14ac:dyDescent="0.35">
      <c r="A3" s="22" t="s">
        <v>183</v>
      </c>
      <c r="B3" s="22" t="s">
        <v>184</v>
      </c>
      <c r="C3" s="22" t="s">
        <v>185</v>
      </c>
      <c r="D3" s="22">
        <v>7100</v>
      </c>
      <c r="E3" s="22"/>
      <c r="F3" s="22"/>
      <c r="G3" s="22">
        <v>25</v>
      </c>
      <c r="H3" s="22">
        <v>1</v>
      </c>
      <c r="I3" s="22" t="s">
        <v>186</v>
      </c>
      <c r="J3" s="22">
        <v>39.5</v>
      </c>
      <c r="K3" s="22" t="s">
        <v>187</v>
      </c>
      <c r="L3" s="22" t="s">
        <v>188</v>
      </c>
      <c r="M3" s="22" t="s">
        <v>189</v>
      </c>
    </row>
    <row r="4" spans="1:13" ht="25" x14ac:dyDescent="0.35">
      <c r="A4" s="23" t="s">
        <v>190</v>
      </c>
      <c r="B4" s="23" t="s">
        <v>191</v>
      </c>
      <c r="C4" s="23" t="s">
        <v>185</v>
      </c>
      <c r="D4" s="24">
        <v>2500</v>
      </c>
      <c r="E4" s="25"/>
      <c r="F4" s="25"/>
      <c r="G4" s="23">
        <v>25</v>
      </c>
      <c r="H4" s="23">
        <v>1</v>
      </c>
      <c r="I4" s="23" t="s">
        <v>186</v>
      </c>
      <c r="J4" s="23">
        <v>13.9</v>
      </c>
      <c r="K4" s="23" t="s">
        <v>187</v>
      </c>
      <c r="L4" s="23" t="s">
        <v>192</v>
      </c>
      <c r="M4" s="23" t="s">
        <v>193</v>
      </c>
    </row>
    <row r="5" spans="1:13" ht="25" x14ac:dyDescent="0.35">
      <c r="A5" s="23" t="s">
        <v>194</v>
      </c>
      <c r="B5" s="23" t="s">
        <v>195</v>
      </c>
      <c r="C5" s="23" t="s">
        <v>196</v>
      </c>
      <c r="D5" s="24">
        <v>4600</v>
      </c>
      <c r="E5" s="25"/>
      <c r="F5" s="25"/>
      <c r="G5" s="23">
        <v>30</v>
      </c>
      <c r="H5" s="23">
        <v>1</v>
      </c>
      <c r="I5" s="23" t="s">
        <v>186</v>
      </c>
      <c r="J5" s="23">
        <v>0.6</v>
      </c>
      <c r="K5" s="23" t="s">
        <v>197</v>
      </c>
      <c r="L5" s="23" t="s">
        <v>198</v>
      </c>
      <c r="M5" s="23" t="s">
        <v>199</v>
      </c>
    </row>
    <row r="6" spans="1:13" ht="25" x14ac:dyDescent="0.35">
      <c r="A6" s="23" t="s">
        <v>200</v>
      </c>
      <c r="B6" s="23" t="s">
        <v>201</v>
      </c>
      <c r="C6" s="23" t="s">
        <v>202</v>
      </c>
      <c r="D6" s="24">
        <v>6250</v>
      </c>
      <c r="E6" s="25">
        <v>347</v>
      </c>
      <c r="F6" s="25">
        <v>18.015000000000001</v>
      </c>
      <c r="G6" s="23">
        <v>10</v>
      </c>
      <c r="H6" s="23">
        <v>1</v>
      </c>
      <c r="I6" s="23">
        <v>0</v>
      </c>
      <c r="J6" s="23">
        <v>0.4</v>
      </c>
      <c r="K6" s="23" t="s">
        <v>203</v>
      </c>
      <c r="L6" s="23" t="s">
        <v>188</v>
      </c>
      <c r="M6" s="23" t="s">
        <v>204</v>
      </c>
    </row>
    <row r="7" spans="1:13" ht="25" x14ac:dyDescent="0.35">
      <c r="A7" s="23" t="s">
        <v>205</v>
      </c>
      <c r="B7" s="23" t="s">
        <v>206</v>
      </c>
      <c r="C7" s="23" t="s">
        <v>207</v>
      </c>
      <c r="D7" s="24">
        <v>6250</v>
      </c>
      <c r="E7" s="25">
        <v>347</v>
      </c>
      <c r="F7" s="25">
        <v>18.015000000000001</v>
      </c>
      <c r="G7" s="23">
        <v>184</v>
      </c>
      <c r="H7" s="23">
        <v>10.3</v>
      </c>
      <c r="I7" s="23">
        <v>1</v>
      </c>
      <c r="J7" s="23">
        <v>17.399999999999999</v>
      </c>
      <c r="K7" s="23" t="s">
        <v>208</v>
      </c>
      <c r="L7" s="23" t="s">
        <v>198</v>
      </c>
      <c r="M7" s="23" t="s">
        <v>209</v>
      </c>
    </row>
    <row r="8" spans="1:13" ht="25" x14ac:dyDescent="0.35">
      <c r="A8" s="23" t="s">
        <v>210</v>
      </c>
      <c r="B8" s="23" t="s">
        <v>211</v>
      </c>
      <c r="C8" s="23" t="s">
        <v>207</v>
      </c>
      <c r="D8" s="24">
        <v>8300</v>
      </c>
      <c r="E8" s="25">
        <v>287.39999999999998</v>
      </c>
      <c r="F8" s="25">
        <v>28.85</v>
      </c>
      <c r="G8" s="23">
        <v>25</v>
      </c>
      <c r="H8" s="23">
        <v>1</v>
      </c>
      <c r="I8" s="23">
        <v>1</v>
      </c>
      <c r="J8" s="23">
        <v>0</v>
      </c>
      <c r="K8" s="23" t="s">
        <v>212</v>
      </c>
      <c r="L8" s="23" t="s">
        <v>213</v>
      </c>
      <c r="M8" s="23" t="s">
        <v>214</v>
      </c>
    </row>
    <row r="9" spans="1:13" ht="25" x14ac:dyDescent="0.35">
      <c r="A9" s="23" t="s">
        <v>215</v>
      </c>
      <c r="B9" s="23" t="s">
        <v>216</v>
      </c>
      <c r="C9" s="23" t="s">
        <v>207</v>
      </c>
      <c r="D9" s="24">
        <v>9650</v>
      </c>
      <c r="E9" s="25">
        <v>423</v>
      </c>
      <c r="F9" s="25">
        <v>22.81</v>
      </c>
      <c r="G9" s="23">
        <v>1050</v>
      </c>
      <c r="H9" s="23">
        <v>1.1000000000000001</v>
      </c>
      <c r="I9" s="23">
        <v>1</v>
      </c>
      <c r="J9" s="23">
        <v>27.1</v>
      </c>
      <c r="K9" s="23" t="s">
        <v>217</v>
      </c>
      <c r="L9" s="23" t="s">
        <v>218</v>
      </c>
      <c r="M9" s="23" t="s">
        <v>219</v>
      </c>
    </row>
    <row r="10" spans="1:13" ht="25" x14ac:dyDescent="0.35">
      <c r="A10" s="23" t="s">
        <v>220</v>
      </c>
      <c r="B10" s="23" t="s">
        <v>221</v>
      </c>
      <c r="C10" s="23" t="s">
        <v>207</v>
      </c>
      <c r="D10" s="24">
        <v>1450</v>
      </c>
      <c r="E10" s="25">
        <v>70</v>
      </c>
      <c r="F10" s="25">
        <v>20.71</v>
      </c>
      <c r="G10" s="23">
        <v>850</v>
      </c>
      <c r="H10" s="23">
        <v>1.1000000000000001</v>
      </c>
      <c r="I10" s="23">
        <v>1</v>
      </c>
      <c r="J10" s="23">
        <v>5.8</v>
      </c>
      <c r="K10" s="23" t="s">
        <v>222</v>
      </c>
      <c r="L10" s="23" t="s">
        <v>218</v>
      </c>
      <c r="M10" s="23" t="s">
        <v>223</v>
      </c>
    </row>
    <row r="11" spans="1:13" ht="25" x14ac:dyDescent="0.35">
      <c r="A11" s="23" t="s">
        <v>224</v>
      </c>
      <c r="B11" s="23" t="s">
        <v>225</v>
      </c>
      <c r="C11" s="23" t="s">
        <v>202</v>
      </c>
      <c r="D11" s="24">
        <v>280</v>
      </c>
      <c r="E11" s="25">
        <v>1.4</v>
      </c>
      <c r="F11" s="25">
        <v>200</v>
      </c>
      <c r="G11" s="23">
        <v>40</v>
      </c>
      <c r="H11" s="23">
        <v>1</v>
      </c>
      <c r="I11" s="23">
        <v>0</v>
      </c>
      <c r="J11" s="23">
        <v>8.4</v>
      </c>
      <c r="K11" s="23" t="s">
        <v>226</v>
      </c>
      <c r="L11" s="23" t="s">
        <v>227</v>
      </c>
      <c r="M11" s="23" t="s">
        <v>228</v>
      </c>
    </row>
    <row r="12" spans="1:13" ht="25" x14ac:dyDescent="0.35">
      <c r="A12" s="23" t="s">
        <v>229</v>
      </c>
      <c r="B12" s="23" t="s">
        <v>230</v>
      </c>
      <c r="C12" s="23" t="s">
        <v>202</v>
      </c>
      <c r="D12" s="24">
        <v>4920</v>
      </c>
      <c r="E12" s="25">
        <v>270</v>
      </c>
      <c r="F12" s="25">
        <v>18.22</v>
      </c>
      <c r="G12" s="23">
        <v>35</v>
      </c>
      <c r="H12" s="23">
        <v>1</v>
      </c>
      <c r="I12" s="23">
        <v>0</v>
      </c>
      <c r="J12" s="23">
        <v>0.6</v>
      </c>
      <c r="K12" s="23" t="s">
        <v>226</v>
      </c>
      <c r="L12" s="23" t="s">
        <v>227</v>
      </c>
      <c r="M12" s="23" t="s">
        <v>231</v>
      </c>
    </row>
    <row r="13" spans="1:13" ht="25" x14ac:dyDescent="0.35">
      <c r="A13" s="23" t="s">
        <v>232</v>
      </c>
      <c r="B13" s="23" t="s">
        <v>233</v>
      </c>
      <c r="C13" s="23" t="s">
        <v>186</v>
      </c>
      <c r="D13" s="24">
        <v>50</v>
      </c>
      <c r="E13" s="25"/>
      <c r="F13" s="25"/>
      <c r="G13" s="23">
        <v>25</v>
      </c>
      <c r="H13" s="23">
        <v>1</v>
      </c>
      <c r="I13" s="23" t="s">
        <v>186</v>
      </c>
      <c r="J13" s="23">
        <v>0.5</v>
      </c>
      <c r="K13" s="23" t="s">
        <v>234</v>
      </c>
      <c r="L13" s="23" t="s">
        <v>227</v>
      </c>
      <c r="M13" s="23" t="s">
        <v>235</v>
      </c>
    </row>
    <row r="14" spans="1:13" ht="25" x14ac:dyDescent="0.35">
      <c r="A14" s="23" t="s">
        <v>236</v>
      </c>
      <c r="B14" s="23" t="s">
        <v>237</v>
      </c>
      <c r="C14" s="23" t="s">
        <v>202</v>
      </c>
      <c r="D14" s="24">
        <v>100</v>
      </c>
      <c r="E14" s="25">
        <v>1.1000000000000001</v>
      </c>
      <c r="F14" s="25">
        <v>91</v>
      </c>
      <c r="G14" s="23">
        <v>30</v>
      </c>
      <c r="H14" s="23">
        <v>1</v>
      </c>
      <c r="I14" s="23">
        <v>0</v>
      </c>
      <c r="J14" s="23">
        <v>4</v>
      </c>
      <c r="K14" s="23" t="s">
        <v>238</v>
      </c>
      <c r="L14" s="23" t="s">
        <v>227</v>
      </c>
      <c r="M14" s="23" t="s">
        <v>239</v>
      </c>
    </row>
    <row r="15" spans="1:13" ht="25" x14ac:dyDescent="0.35">
      <c r="A15" s="23" t="s">
        <v>240</v>
      </c>
      <c r="B15" s="23" t="s">
        <v>241</v>
      </c>
      <c r="C15" s="23" t="s">
        <v>207</v>
      </c>
      <c r="D15" s="24">
        <v>4883</v>
      </c>
      <c r="E15" s="25">
        <v>316</v>
      </c>
      <c r="F15" s="25">
        <v>15.45</v>
      </c>
      <c r="G15" s="23">
        <v>25</v>
      </c>
      <c r="H15" s="23">
        <v>1</v>
      </c>
      <c r="I15" s="23">
        <v>1</v>
      </c>
      <c r="J15" s="23">
        <v>84.9</v>
      </c>
      <c r="K15" s="23" t="s">
        <v>242</v>
      </c>
      <c r="L15" s="23" t="s">
        <v>243</v>
      </c>
      <c r="M15" s="23" t="s">
        <v>244</v>
      </c>
    </row>
    <row r="16" spans="1:13" ht="25" x14ac:dyDescent="0.35">
      <c r="A16" s="23" t="s">
        <v>245</v>
      </c>
      <c r="B16" s="23" t="s">
        <v>246</v>
      </c>
      <c r="C16" s="23" t="s">
        <v>186</v>
      </c>
      <c r="D16" s="24">
        <v>711</v>
      </c>
      <c r="E16" s="25"/>
      <c r="F16" s="25"/>
      <c r="G16" s="23">
        <v>35</v>
      </c>
      <c r="H16" s="23">
        <v>1</v>
      </c>
      <c r="I16" s="23" t="s">
        <v>186</v>
      </c>
      <c r="J16" s="23">
        <v>12.9</v>
      </c>
      <c r="K16" s="23" t="s">
        <v>217</v>
      </c>
      <c r="L16" s="23" t="s">
        <v>227</v>
      </c>
      <c r="M16" s="23" t="s">
        <v>247</v>
      </c>
    </row>
    <row r="17" spans="1:13" ht="25" x14ac:dyDescent="0.35">
      <c r="A17" s="23" t="s">
        <v>248</v>
      </c>
      <c r="B17" s="23" t="s">
        <v>249</v>
      </c>
      <c r="C17" s="23" t="s">
        <v>207</v>
      </c>
      <c r="D17" s="24">
        <v>8780</v>
      </c>
      <c r="E17" s="25">
        <v>313</v>
      </c>
      <c r="F17" s="25">
        <v>28.05</v>
      </c>
      <c r="G17" s="23">
        <v>250</v>
      </c>
      <c r="H17" s="23">
        <v>1</v>
      </c>
      <c r="I17" s="23">
        <v>1</v>
      </c>
      <c r="J17" s="23">
        <v>2.4</v>
      </c>
      <c r="K17" s="23" t="s">
        <v>250</v>
      </c>
      <c r="L17" s="23" t="s">
        <v>251</v>
      </c>
      <c r="M17" s="23" t="s">
        <v>252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Normal="100" workbookViewId="0"/>
  </sheetViews>
  <sheetFormatPr defaultColWidth="8.6328125" defaultRowHeight="14.5" x14ac:dyDescent="0.35"/>
  <cols>
    <col min="1" max="1" width="16" customWidth="1"/>
    <col min="2" max="8" width="14" customWidth="1"/>
  </cols>
  <sheetData>
    <row r="1" spans="1:8" ht="16.5" x14ac:dyDescent="0.35">
      <c r="A1" s="7" t="s">
        <v>253</v>
      </c>
      <c r="B1" s="7"/>
      <c r="C1" s="7"/>
      <c r="D1" s="7"/>
      <c r="E1" s="7"/>
      <c r="F1" s="7"/>
      <c r="G1" s="7"/>
      <c r="H1" s="7"/>
    </row>
    <row r="2" spans="1:8" x14ac:dyDescent="0.35">
      <c r="A2" s="6" t="s">
        <v>254</v>
      </c>
      <c r="B2" s="6"/>
      <c r="C2" s="6"/>
      <c r="D2" s="6"/>
      <c r="E2" s="6"/>
      <c r="F2" s="6"/>
      <c r="G2" s="6"/>
      <c r="H2" s="6"/>
    </row>
    <row r="3" spans="1:8" x14ac:dyDescent="0.35">
      <c r="A3" s="10"/>
      <c r="B3" s="10"/>
      <c r="C3" s="10"/>
      <c r="D3" s="10"/>
      <c r="E3" s="10"/>
      <c r="F3" s="10"/>
      <c r="G3" s="10"/>
      <c r="H3" s="10"/>
    </row>
    <row r="4" spans="1:8" x14ac:dyDescent="0.35">
      <c r="A4" s="5" t="s">
        <v>255</v>
      </c>
      <c r="B4" s="5"/>
      <c r="C4" s="5"/>
      <c r="D4" s="5"/>
      <c r="E4" s="5"/>
      <c r="F4" s="5"/>
      <c r="G4" s="5"/>
      <c r="H4" s="5"/>
    </row>
    <row r="5" spans="1:8" x14ac:dyDescent="0.35">
      <c r="A5" s="26" t="s">
        <v>171</v>
      </c>
      <c r="B5" s="27" t="s">
        <v>172</v>
      </c>
      <c r="C5" s="27" t="s">
        <v>256</v>
      </c>
      <c r="D5" s="27" t="s">
        <v>257</v>
      </c>
      <c r="E5" s="27"/>
      <c r="F5" s="27"/>
      <c r="G5" s="27"/>
      <c r="H5" s="28"/>
    </row>
    <row r="6" spans="1:8" x14ac:dyDescent="0.35">
      <c r="A6" s="29" t="s">
        <v>194</v>
      </c>
      <c r="B6" s="30" t="s">
        <v>258</v>
      </c>
      <c r="C6" s="31">
        <v>4600</v>
      </c>
      <c r="D6" s="30" t="s">
        <v>259</v>
      </c>
      <c r="E6" s="17"/>
      <c r="F6" s="17"/>
      <c r="G6" s="17"/>
      <c r="H6" s="32"/>
    </row>
    <row r="7" spans="1:8" x14ac:dyDescent="0.35">
      <c r="A7" s="29" t="s">
        <v>205</v>
      </c>
      <c r="B7" s="30" t="s">
        <v>260</v>
      </c>
      <c r="C7" s="31">
        <v>6250</v>
      </c>
      <c r="D7" s="30" t="s">
        <v>259</v>
      </c>
      <c r="E7" s="17"/>
      <c r="F7" s="17"/>
      <c r="G7" s="17"/>
      <c r="H7" s="32"/>
    </row>
    <row r="8" spans="1:8" x14ac:dyDescent="0.35">
      <c r="A8" s="29"/>
      <c r="B8" s="29" t="s">
        <v>261</v>
      </c>
      <c r="C8" s="33">
        <f>SUM(C6:C7)</f>
        <v>10850</v>
      </c>
      <c r="D8" s="29"/>
      <c r="E8" s="11"/>
      <c r="F8" s="11"/>
      <c r="G8" s="11"/>
      <c r="H8" s="32"/>
    </row>
    <row r="9" spans="1:8" x14ac:dyDescent="0.35">
      <c r="A9" s="29"/>
      <c r="B9" s="29"/>
      <c r="C9" s="29"/>
      <c r="D9" s="29"/>
      <c r="E9" s="11"/>
      <c r="F9" s="11"/>
      <c r="G9" s="11"/>
      <c r="H9" s="32"/>
    </row>
    <row r="10" spans="1:8" x14ac:dyDescent="0.35">
      <c r="A10" s="29" t="s">
        <v>224</v>
      </c>
      <c r="B10" s="29" t="s">
        <v>262</v>
      </c>
      <c r="C10" s="34">
        <v>280</v>
      </c>
      <c r="D10" s="29" t="s">
        <v>263</v>
      </c>
      <c r="E10" s="11"/>
      <c r="F10" s="11"/>
      <c r="G10" s="11"/>
      <c r="H10" s="32"/>
    </row>
    <row r="11" spans="1:8" x14ac:dyDescent="0.35">
      <c r="A11" s="35" t="s">
        <v>229</v>
      </c>
      <c r="B11" s="35" t="s">
        <v>264</v>
      </c>
      <c r="C11" s="36">
        <v>4920</v>
      </c>
      <c r="D11" s="35" t="s">
        <v>263</v>
      </c>
    </row>
    <row r="12" spans="1:8" x14ac:dyDescent="0.35">
      <c r="A12" s="35" t="s">
        <v>232</v>
      </c>
      <c r="B12" s="35" t="s">
        <v>265</v>
      </c>
      <c r="C12" s="36">
        <v>50</v>
      </c>
      <c r="D12" s="35" t="s">
        <v>263</v>
      </c>
    </row>
    <row r="13" spans="1:8" x14ac:dyDescent="0.35">
      <c r="A13" s="35" t="s">
        <v>236</v>
      </c>
      <c r="B13" s="35" t="s">
        <v>266</v>
      </c>
      <c r="C13" s="36">
        <v>100</v>
      </c>
      <c r="D13" s="35" t="s">
        <v>263</v>
      </c>
    </row>
    <row r="14" spans="1:8" x14ac:dyDescent="0.35">
      <c r="A14" s="35" t="s">
        <v>240</v>
      </c>
      <c r="B14" s="35" t="s">
        <v>267</v>
      </c>
      <c r="C14" s="36">
        <v>4883</v>
      </c>
      <c r="D14" s="35" t="s">
        <v>263</v>
      </c>
    </row>
    <row r="15" spans="1:8" x14ac:dyDescent="0.35">
      <c r="A15" s="35" t="s">
        <v>245</v>
      </c>
      <c r="B15" s="35" t="s">
        <v>268</v>
      </c>
      <c r="C15" s="36">
        <v>711</v>
      </c>
      <c r="D15" s="35" t="s">
        <v>263</v>
      </c>
    </row>
    <row r="16" spans="1:8" x14ac:dyDescent="0.35">
      <c r="A16" s="35"/>
      <c r="B16" s="35" t="s">
        <v>269</v>
      </c>
      <c r="C16" s="37">
        <f>SUM(C10:C15)</f>
        <v>10944</v>
      </c>
      <c r="D16" s="35"/>
    </row>
    <row r="17" spans="1:8" x14ac:dyDescent="0.35">
      <c r="A17" s="35"/>
      <c r="B17" s="35"/>
      <c r="C17" s="35"/>
      <c r="D17" s="35"/>
    </row>
    <row r="18" spans="1:8" x14ac:dyDescent="0.35">
      <c r="A18" s="35"/>
      <c r="B18" s="35" t="s">
        <v>270</v>
      </c>
      <c r="C18" s="37">
        <f>ABS(C8-C16)</f>
        <v>94</v>
      </c>
      <c r="D18" s="35"/>
    </row>
    <row r="19" spans="1:8" x14ac:dyDescent="0.35">
      <c r="A19" s="35"/>
      <c r="B19" s="35" t="s">
        <v>271</v>
      </c>
      <c r="C19" s="37">
        <f>C18/C8*100</f>
        <v>0.86635944700460843</v>
      </c>
      <c r="D19" s="35"/>
    </row>
    <row r="20" spans="1:8" x14ac:dyDescent="0.35">
      <c r="A20" s="35"/>
      <c r="B20" s="35" t="s">
        <v>272</v>
      </c>
      <c r="C20" s="35" t="s">
        <v>273</v>
      </c>
      <c r="D20" s="35"/>
    </row>
    <row r="21" spans="1:8" x14ac:dyDescent="0.35">
      <c r="A21" s="35"/>
      <c r="B21" s="35" t="s">
        <v>116</v>
      </c>
      <c r="C21" s="37" t="str">
        <f>IF(C19&lt;2,"PASS","FAIL")</f>
        <v>PASS</v>
      </c>
      <c r="D21" s="35"/>
    </row>
    <row r="24" spans="1:8" x14ac:dyDescent="0.35">
      <c r="A24" s="4" t="s">
        <v>274</v>
      </c>
      <c r="B24" s="4"/>
      <c r="C24" s="4"/>
      <c r="D24" s="4"/>
      <c r="E24" s="4"/>
      <c r="F24" s="4"/>
      <c r="G24" s="4"/>
      <c r="H24" s="4"/>
    </row>
    <row r="25" spans="1:8" x14ac:dyDescent="0.35">
      <c r="A25" s="26" t="s">
        <v>171</v>
      </c>
      <c r="B25" s="26" t="s">
        <v>172</v>
      </c>
      <c r="C25" s="26" t="s">
        <v>275</v>
      </c>
      <c r="D25" s="26" t="s">
        <v>257</v>
      </c>
      <c r="E25" s="26" t="s">
        <v>276</v>
      </c>
      <c r="F25" s="26"/>
      <c r="G25" s="26"/>
      <c r="H25" s="26"/>
    </row>
    <row r="26" spans="1:8" x14ac:dyDescent="0.35">
      <c r="A26" s="35" t="s">
        <v>194</v>
      </c>
      <c r="B26" s="35" t="s">
        <v>277</v>
      </c>
      <c r="C26" s="36">
        <v>128.80000000000001</v>
      </c>
      <c r="D26" s="35" t="s">
        <v>259</v>
      </c>
      <c r="E26" s="35" t="s">
        <v>278</v>
      </c>
    </row>
    <row r="27" spans="1:8" x14ac:dyDescent="0.35">
      <c r="A27" s="35" t="s">
        <v>205</v>
      </c>
      <c r="B27" s="35" t="s">
        <v>279</v>
      </c>
      <c r="C27" s="36">
        <v>16.7</v>
      </c>
      <c r="D27" s="35" t="s">
        <v>259</v>
      </c>
      <c r="E27" s="35" t="s">
        <v>280</v>
      </c>
    </row>
    <row r="28" spans="1:8" x14ac:dyDescent="0.35">
      <c r="A28" s="35"/>
      <c r="B28" s="35" t="s">
        <v>281</v>
      </c>
      <c r="C28" s="37">
        <f>SUM(C26:C27)</f>
        <v>145.5</v>
      </c>
      <c r="D28" s="35"/>
      <c r="E28" s="35"/>
    </row>
    <row r="29" spans="1:8" x14ac:dyDescent="0.35">
      <c r="A29" s="35"/>
      <c r="B29" s="35"/>
      <c r="C29" s="35"/>
      <c r="D29" s="35"/>
      <c r="E29" s="35"/>
    </row>
    <row r="30" spans="1:8" x14ac:dyDescent="0.35">
      <c r="A30" s="35" t="s">
        <v>240</v>
      </c>
      <c r="B30" s="35" t="s">
        <v>282</v>
      </c>
      <c r="C30" s="36">
        <v>85</v>
      </c>
      <c r="D30" s="35" t="s">
        <v>263</v>
      </c>
      <c r="E30" s="35" t="s">
        <v>283</v>
      </c>
    </row>
    <row r="31" spans="1:8" x14ac:dyDescent="0.35">
      <c r="A31" s="35" t="s">
        <v>245</v>
      </c>
      <c r="B31" s="35" t="s">
        <v>284</v>
      </c>
      <c r="C31" s="36">
        <v>8.6</v>
      </c>
      <c r="D31" s="35" t="s">
        <v>263</v>
      </c>
      <c r="E31" s="35" t="s">
        <v>285</v>
      </c>
    </row>
    <row r="32" spans="1:8" x14ac:dyDescent="0.35">
      <c r="A32" s="35" t="s">
        <v>224</v>
      </c>
      <c r="B32" s="35" t="s">
        <v>286</v>
      </c>
      <c r="C32" s="36">
        <v>10.1</v>
      </c>
      <c r="D32" s="35" t="s">
        <v>263</v>
      </c>
      <c r="E32" s="35" t="s">
        <v>287</v>
      </c>
    </row>
    <row r="33" spans="1:8" x14ac:dyDescent="0.35">
      <c r="A33" s="35" t="s">
        <v>236</v>
      </c>
      <c r="B33" s="35" t="s">
        <v>288</v>
      </c>
      <c r="C33" s="36">
        <v>4</v>
      </c>
      <c r="D33" s="35" t="s">
        <v>263</v>
      </c>
      <c r="E33" s="35" t="s">
        <v>289</v>
      </c>
    </row>
    <row r="34" spans="1:8" x14ac:dyDescent="0.35">
      <c r="A34" s="35" t="s">
        <v>229</v>
      </c>
      <c r="B34" s="35" t="s">
        <v>290</v>
      </c>
      <c r="C34" s="36">
        <v>0.2</v>
      </c>
      <c r="D34" s="35" t="s">
        <v>263</v>
      </c>
      <c r="E34" s="35" t="s">
        <v>291</v>
      </c>
    </row>
    <row r="35" spans="1:8" x14ac:dyDescent="0.35">
      <c r="A35" s="35" t="s">
        <v>292</v>
      </c>
      <c r="B35" s="35" t="s">
        <v>293</v>
      </c>
      <c r="C35" s="36">
        <v>36</v>
      </c>
      <c r="D35" s="35" t="s">
        <v>263</v>
      </c>
      <c r="E35" s="35" t="s">
        <v>294</v>
      </c>
    </row>
    <row r="36" spans="1:8" x14ac:dyDescent="0.35">
      <c r="A36" s="35" t="s">
        <v>295</v>
      </c>
      <c r="B36" s="35" t="s">
        <v>296</v>
      </c>
      <c r="C36" s="36">
        <v>1.6</v>
      </c>
      <c r="D36" s="35" t="s">
        <v>263</v>
      </c>
      <c r="E36" s="35" t="s">
        <v>297</v>
      </c>
    </row>
    <row r="37" spans="1:8" x14ac:dyDescent="0.35">
      <c r="A37" s="35"/>
      <c r="B37" s="35" t="s">
        <v>298</v>
      </c>
      <c r="C37" s="37">
        <f>SUM(C30:C36)</f>
        <v>145.49999999999997</v>
      </c>
      <c r="D37" s="35"/>
      <c r="E37" s="35"/>
    </row>
    <row r="38" spans="1:8" x14ac:dyDescent="0.35">
      <c r="A38" s="35"/>
      <c r="B38" s="35"/>
      <c r="C38" s="35"/>
      <c r="D38" s="35"/>
      <c r="E38" s="35"/>
    </row>
    <row r="39" spans="1:8" x14ac:dyDescent="0.35">
      <c r="A39" s="35"/>
      <c r="B39" s="35" t="s">
        <v>299</v>
      </c>
      <c r="C39" s="37">
        <f>ABS(C28-C37)</f>
        <v>2.8421709430404007E-14</v>
      </c>
      <c r="D39" s="35"/>
      <c r="E39" s="35"/>
    </row>
    <row r="40" spans="1:8" x14ac:dyDescent="0.35">
      <c r="A40" s="35"/>
      <c r="B40" s="35" t="s">
        <v>300</v>
      </c>
      <c r="C40" s="37">
        <f>C39/C28*100</f>
        <v>1.9533820914367015E-14</v>
      </c>
      <c r="D40" s="35"/>
      <c r="E40" s="35"/>
    </row>
    <row r="41" spans="1:8" x14ac:dyDescent="0.35">
      <c r="A41" s="35"/>
      <c r="B41" s="35" t="s">
        <v>301</v>
      </c>
      <c r="C41" s="35" t="s">
        <v>302</v>
      </c>
      <c r="D41" s="35"/>
      <c r="E41" s="35"/>
    </row>
    <row r="42" spans="1:8" x14ac:dyDescent="0.35">
      <c r="A42" s="35"/>
      <c r="B42" s="35" t="s">
        <v>116</v>
      </c>
      <c r="C42" s="37" t="str">
        <f>IF(C40&lt;5,"PASS","FAIL")</f>
        <v>PASS</v>
      </c>
      <c r="D42" s="35"/>
      <c r="E42" s="35"/>
    </row>
    <row r="45" spans="1:8" x14ac:dyDescent="0.35">
      <c r="A45" s="4" t="s">
        <v>303</v>
      </c>
      <c r="B45" s="4"/>
      <c r="C45" s="4"/>
      <c r="D45" s="4"/>
      <c r="E45" s="4"/>
      <c r="F45" s="4"/>
      <c r="G45" s="4"/>
      <c r="H45" s="4"/>
    </row>
    <row r="46" spans="1:8" ht="42" x14ac:dyDescent="0.35">
      <c r="A46" s="38" t="s">
        <v>304</v>
      </c>
      <c r="B46" s="38" t="s">
        <v>305</v>
      </c>
      <c r="C46" s="38" t="s">
        <v>306</v>
      </c>
      <c r="D46" s="38" t="s">
        <v>307</v>
      </c>
      <c r="E46" s="38" t="s">
        <v>308</v>
      </c>
      <c r="F46" s="38" t="s">
        <v>309</v>
      </c>
      <c r="G46" s="38" t="s">
        <v>310</v>
      </c>
      <c r="H46" s="38" t="s">
        <v>311</v>
      </c>
    </row>
    <row r="47" spans="1:8" x14ac:dyDescent="0.35">
      <c r="A47" s="35" t="s">
        <v>312</v>
      </c>
      <c r="B47" s="35">
        <v>3910</v>
      </c>
      <c r="C47" s="35">
        <v>0</v>
      </c>
      <c r="D47" s="35">
        <f>B47+C47</f>
        <v>3910</v>
      </c>
      <c r="E47" s="35">
        <v>1821</v>
      </c>
      <c r="F47" s="35">
        <v>304</v>
      </c>
      <c r="G47" s="35">
        <f>D47-E47-F47</f>
        <v>1785</v>
      </c>
      <c r="H47" s="35">
        <f>ABS((B47+C47)-(E47+F47+G47))/(B47+C47)*100</f>
        <v>0</v>
      </c>
    </row>
    <row r="48" spans="1:8" x14ac:dyDescent="0.35">
      <c r="A48" s="35" t="s">
        <v>313</v>
      </c>
      <c r="B48" s="35">
        <v>0</v>
      </c>
      <c r="C48" s="35">
        <v>694</v>
      </c>
      <c r="D48" s="35">
        <f>B48+C48</f>
        <v>694</v>
      </c>
      <c r="E48" s="35">
        <v>357</v>
      </c>
      <c r="F48" s="35">
        <v>25</v>
      </c>
      <c r="G48" s="35">
        <f>D48-E48-F48</f>
        <v>312</v>
      </c>
      <c r="H48" s="35">
        <f>ABS((B48+C48)-(E48+F48+G48))/(B48+C48)*100</f>
        <v>0</v>
      </c>
    </row>
    <row r="49" spans="1:8" x14ac:dyDescent="0.35">
      <c r="A49" s="35" t="s">
        <v>314</v>
      </c>
      <c r="B49" s="35">
        <v>0</v>
      </c>
      <c r="C49" s="35">
        <v>5556</v>
      </c>
      <c r="D49" s="35">
        <f>B49+C49</f>
        <v>5556</v>
      </c>
      <c r="E49" s="35">
        <v>2528</v>
      </c>
      <c r="F49" s="35">
        <v>49</v>
      </c>
      <c r="G49" s="35">
        <f>D49-E49-F49</f>
        <v>2979</v>
      </c>
      <c r="H49" s="35">
        <f>ABS((B49+C49)-(E49+F49+G49))/(B49+C49)*100</f>
        <v>0</v>
      </c>
    </row>
  </sheetData>
  <mergeCells count="5">
    <mergeCell ref="A1:H1"/>
    <mergeCell ref="A2:H2"/>
    <mergeCell ref="A4:H4"/>
    <mergeCell ref="A24:H24"/>
    <mergeCell ref="A45:H4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28" customWidth="1"/>
    <col min="3" max="3" width="25" customWidth="1"/>
    <col min="4" max="4" width="26" customWidth="1"/>
    <col min="5" max="5" width="24" customWidth="1"/>
    <col min="6" max="7" width="28" customWidth="1"/>
    <col min="8" max="9" width="13" customWidth="1"/>
    <col min="10" max="10" width="42" customWidth="1"/>
  </cols>
  <sheetData>
    <row r="1" spans="1:10" x14ac:dyDescent="0.35">
      <c r="A1" s="9" t="s">
        <v>315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35">
      <c r="A3" s="10" t="s">
        <v>316</v>
      </c>
      <c r="B3" s="10" t="s">
        <v>317</v>
      </c>
      <c r="C3" s="10" t="s">
        <v>318</v>
      </c>
      <c r="D3" s="10" t="s">
        <v>319</v>
      </c>
      <c r="E3" s="10" t="s">
        <v>320</v>
      </c>
      <c r="F3" s="10" t="s">
        <v>321</v>
      </c>
      <c r="G3" s="10" t="s">
        <v>322</v>
      </c>
      <c r="H3" s="10" t="s">
        <v>323</v>
      </c>
      <c r="I3" s="10" t="s">
        <v>324</v>
      </c>
      <c r="J3" s="10" t="s">
        <v>9</v>
      </c>
    </row>
    <row r="4" spans="1:10" x14ac:dyDescent="0.35">
      <c r="A4" s="11" t="s">
        <v>325</v>
      </c>
      <c r="B4" s="11" t="s">
        <v>326</v>
      </c>
      <c r="C4" s="11" t="s">
        <v>327</v>
      </c>
      <c r="D4" s="11" t="s">
        <v>328</v>
      </c>
      <c r="E4" s="11" t="s">
        <v>329</v>
      </c>
      <c r="F4" s="11" t="s">
        <v>330</v>
      </c>
      <c r="G4" s="11" t="s">
        <v>331</v>
      </c>
      <c r="H4" s="11" t="s">
        <v>332</v>
      </c>
      <c r="I4" s="11" t="s">
        <v>333</v>
      </c>
      <c r="J4" s="11" t="s">
        <v>334</v>
      </c>
    </row>
    <row r="5" spans="1:10" x14ac:dyDescent="0.35">
      <c r="A5" s="11" t="s">
        <v>335</v>
      </c>
      <c r="B5" s="11" t="s">
        <v>336</v>
      </c>
      <c r="C5" s="11" t="s">
        <v>327</v>
      </c>
      <c r="D5" s="11" t="s">
        <v>337</v>
      </c>
      <c r="E5" s="11" t="s">
        <v>338</v>
      </c>
      <c r="F5" s="11" t="s">
        <v>339</v>
      </c>
      <c r="G5" s="11" t="s">
        <v>340</v>
      </c>
      <c r="H5" s="11" t="s">
        <v>332</v>
      </c>
      <c r="I5" s="11" t="s">
        <v>332</v>
      </c>
      <c r="J5" s="11" t="s">
        <v>341</v>
      </c>
    </row>
    <row r="6" spans="1:10" x14ac:dyDescent="0.35">
      <c r="A6" s="11" t="s">
        <v>342</v>
      </c>
      <c r="B6" s="11" t="s">
        <v>343</v>
      </c>
      <c r="C6" s="11" t="s">
        <v>344</v>
      </c>
      <c r="D6" s="11" t="s">
        <v>345</v>
      </c>
      <c r="E6" s="11" t="s">
        <v>346</v>
      </c>
      <c r="F6" s="11" t="s">
        <v>347</v>
      </c>
      <c r="G6" s="11" t="s">
        <v>348</v>
      </c>
      <c r="H6" s="11" t="s">
        <v>332</v>
      </c>
      <c r="I6" s="11" t="s">
        <v>332</v>
      </c>
      <c r="J6" s="11" t="s">
        <v>349</v>
      </c>
    </row>
    <row r="7" spans="1:10" x14ac:dyDescent="0.35">
      <c r="A7" s="11" t="s">
        <v>350</v>
      </c>
      <c r="B7" s="11" t="s">
        <v>351</v>
      </c>
      <c r="C7" s="11" t="s">
        <v>352</v>
      </c>
      <c r="D7" s="11" t="s">
        <v>353</v>
      </c>
      <c r="E7" s="11" t="s">
        <v>346</v>
      </c>
      <c r="F7" s="11" t="s">
        <v>354</v>
      </c>
      <c r="G7" s="11" t="s">
        <v>355</v>
      </c>
      <c r="H7" s="11" t="s">
        <v>332</v>
      </c>
      <c r="I7" s="11" t="s">
        <v>332</v>
      </c>
      <c r="J7" s="11" t="s">
        <v>356</v>
      </c>
    </row>
    <row r="8" spans="1:10" x14ac:dyDescent="0.35">
      <c r="A8" s="11" t="s">
        <v>357</v>
      </c>
      <c r="B8" s="11" t="s">
        <v>358</v>
      </c>
      <c r="C8" s="11" t="s">
        <v>359</v>
      </c>
      <c r="D8" s="11" t="s">
        <v>360</v>
      </c>
      <c r="E8" s="11" t="s">
        <v>361</v>
      </c>
      <c r="F8" s="11" t="s">
        <v>362</v>
      </c>
      <c r="G8" s="11" t="s">
        <v>363</v>
      </c>
      <c r="H8" s="11" t="s">
        <v>332</v>
      </c>
      <c r="I8" s="11" t="s">
        <v>332</v>
      </c>
      <c r="J8" s="11" t="s">
        <v>364</v>
      </c>
    </row>
    <row r="9" spans="1:10" x14ac:dyDescent="0.35">
      <c r="A9" s="11" t="s">
        <v>365</v>
      </c>
      <c r="B9" s="11" t="s">
        <v>366</v>
      </c>
      <c r="C9" s="11" t="s">
        <v>367</v>
      </c>
      <c r="D9" s="11" t="s">
        <v>368</v>
      </c>
      <c r="E9" s="11" t="s">
        <v>369</v>
      </c>
      <c r="F9" s="11" t="s">
        <v>370</v>
      </c>
      <c r="G9" s="11" t="s">
        <v>371</v>
      </c>
      <c r="H9" s="11" t="s">
        <v>332</v>
      </c>
      <c r="I9" s="11" t="s">
        <v>332</v>
      </c>
      <c r="J9" s="11" t="s">
        <v>372</v>
      </c>
    </row>
    <row r="10" spans="1:10" x14ac:dyDescent="0.35">
      <c r="A10" s="11" t="s">
        <v>373</v>
      </c>
      <c r="B10" s="11" t="s">
        <v>374</v>
      </c>
      <c r="C10" s="11" t="s">
        <v>327</v>
      </c>
      <c r="D10" s="11" t="s">
        <v>375</v>
      </c>
      <c r="E10" s="11" t="s">
        <v>376</v>
      </c>
      <c r="F10" s="11" t="s">
        <v>377</v>
      </c>
      <c r="G10" s="11" t="s">
        <v>378</v>
      </c>
      <c r="H10" s="11" t="s">
        <v>332</v>
      </c>
      <c r="I10" s="11" t="s">
        <v>332</v>
      </c>
      <c r="J10" s="11" t="s">
        <v>379</v>
      </c>
    </row>
    <row r="11" spans="1:10" x14ac:dyDescent="0.35">
      <c r="A11" s="11" t="s">
        <v>380</v>
      </c>
      <c r="B11" s="11" t="s">
        <v>381</v>
      </c>
      <c r="C11" s="11" t="s">
        <v>327</v>
      </c>
      <c r="D11" s="11" t="s">
        <v>382</v>
      </c>
      <c r="E11" s="11" t="s">
        <v>383</v>
      </c>
      <c r="F11" s="11" t="s">
        <v>384</v>
      </c>
      <c r="G11" s="11" t="s">
        <v>385</v>
      </c>
      <c r="H11" s="11" t="s">
        <v>332</v>
      </c>
      <c r="I11" s="11" t="s">
        <v>332</v>
      </c>
      <c r="J11" s="11" t="s">
        <v>386</v>
      </c>
    </row>
    <row r="12" spans="1:10" x14ac:dyDescent="0.35">
      <c r="A12" s="11" t="s">
        <v>387</v>
      </c>
      <c r="B12" s="11" t="s">
        <v>388</v>
      </c>
      <c r="C12" s="11" t="s">
        <v>389</v>
      </c>
      <c r="D12" s="11" t="s">
        <v>390</v>
      </c>
      <c r="E12" s="11" t="s">
        <v>391</v>
      </c>
      <c r="F12" s="11" t="s">
        <v>392</v>
      </c>
      <c r="G12" s="11" t="s">
        <v>393</v>
      </c>
      <c r="H12" s="11" t="s">
        <v>332</v>
      </c>
      <c r="I12" s="11" t="s">
        <v>332</v>
      </c>
      <c r="J12" s="11" t="s">
        <v>394</v>
      </c>
    </row>
    <row r="13" spans="1:10" x14ac:dyDescent="0.35">
      <c r="A13" s="11" t="s">
        <v>395</v>
      </c>
      <c r="B13" s="11" t="s">
        <v>396</v>
      </c>
      <c r="C13" s="11" t="s">
        <v>327</v>
      </c>
      <c r="D13" s="11" t="s">
        <v>397</v>
      </c>
      <c r="E13" s="11" t="s">
        <v>398</v>
      </c>
      <c r="F13" s="11" t="s">
        <v>399</v>
      </c>
      <c r="G13" s="11" t="s">
        <v>400</v>
      </c>
      <c r="H13" s="11" t="s">
        <v>332</v>
      </c>
      <c r="I13" s="11" t="s">
        <v>332</v>
      </c>
      <c r="J13" s="11" t="s">
        <v>401</v>
      </c>
    </row>
    <row r="14" spans="1:10" x14ac:dyDescent="0.35">
      <c r="A14" s="11" t="s">
        <v>402</v>
      </c>
      <c r="B14" s="11" t="s">
        <v>403</v>
      </c>
      <c r="C14" s="11" t="s">
        <v>327</v>
      </c>
      <c r="D14" s="11" t="s">
        <v>404</v>
      </c>
      <c r="E14" s="11" t="s">
        <v>405</v>
      </c>
      <c r="F14" s="11" t="s">
        <v>392</v>
      </c>
      <c r="G14" s="11" t="s">
        <v>406</v>
      </c>
      <c r="H14" s="11" t="s">
        <v>332</v>
      </c>
      <c r="I14" s="11" t="s">
        <v>332</v>
      </c>
      <c r="J14" s="11" t="s">
        <v>407</v>
      </c>
    </row>
    <row r="15" spans="1:10" x14ac:dyDescent="0.35">
      <c r="A15" s="11" t="s">
        <v>408</v>
      </c>
      <c r="B15" s="11" t="s">
        <v>409</v>
      </c>
      <c r="C15" s="11" t="s">
        <v>327</v>
      </c>
      <c r="D15" s="11" t="s">
        <v>410</v>
      </c>
      <c r="E15" s="11" t="s">
        <v>405</v>
      </c>
      <c r="F15" s="11" t="s">
        <v>411</v>
      </c>
      <c r="G15" s="11" t="s">
        <v>412</v>
      </c>
      <c r="H15" s="11" t="s">
        <v>332</v>
      </c>
      <c r="I15" s="11" t="s">
        <v>333</v>
      </c>
      <c r="J15" s="11" t="s">
        <v>413</v>
      </c>
    </row>
    <row r="16" spans="1:10" x14ac:dyDescent="0.35">
      <c r="A16" s="11" t="s">
        <v>414</v>
      </c>
      <c r="B16" s="11" t="s">
        <v>415</v>
      </c>
      <c r="C16" s="11" t="s">
        <v>416</v>
      </c>
      <c r="D16" s="11" t="s">
        <v>417</v>
      </c>
      <c r="E16" s="11" t="s">
        <v>405</v>
      </c>
      <c r="F16" s="11" t="s">
        <v>418</v>
      </c>
      <c r="G16" s="11" t="s">
        <v>412</v>
      </c>
      <c r="H16" s="11" t="s">
        <v>332</v>
      </c>
      <c r="I16" s="11" t="s">
        <v>332</v>
      </c>
      <c r="J16" s="11" t="s">
        <v>419</v>
      </c>
    </row>
    <row r="17" spans="1:10" x14ac:dyDescent="0.35">
      <c r="A17" s="11" t="s">
        <v>420</v>
      </c>
      <c r="B17" s="11" t="s">
        <v>421</v>
      </c>
      <c r="C17" s="11" t="s">
        <v>422</v>
      </c>
      <c r="D17" s="11" t="s">
        <v>423</v>
      </c>
      <c r="E17" s="11" t="s">
        <v>329</v>
      </c>
      <c r="F17" s="11" t="s">
        <v>424</v>
      </c>
      <c r="G17" s="11" t="s">
        <v>425</v>
      </c>
      <c r="H17" s="11" t="s">
        <v>332</v>
      </c>
      <c r="I17" s="11" t="s">
        <v>333</v>
      </c>
      <c r="J17" s="11" t="s">
        <v>426</v>
      </c>
    </row>
    <row r="18" spans="1:10" x14ac:dyDescent="0.35">
      <c r="A18" s="11" t="s">
        <v>427</v>
      </c>
      <c r="B18" s="11" t="s">
        <v>428</v>
      </c>
      <c r="C18" s="11" t="s">
        <v>429</v>
      </c>
      <c r="D18" s="11" t="s">
        <v>430</v>
      </c>
      <c r="E18" s="11" t="s">
        <v>329</v>
      </c>
      <c r="F18" s="11" t="s">
        <v>424</v>
      </c>
      <c r="G18" s="11" t="s">
        <v>425</v>
      </c>
      <c r="H18" s="11" t="s">
        <v>332</v>
      </c>
      <c r="I18" s="11" t="s">
        <v>333</v>
      </c>
      <c r="J18" s="11" t="s">
        <v>431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zoomScaleNormal="100" workbookViewId="0">
      <selection activeCell="C5" sqref="C5"/>
    </sheetView>
  </sheetViews>
  <sheetFormatPr defaultColWidth="8.6328125" defaultRowHeight="14.5" x14ac:dyDescent="0.35"/>
  <cols>
    <col min="1" max="1" width="8" customWidth="1"/>
    <col min="2" max="2" width="36" customWidth="1"/>
    <col min="3" max="3" width="52" customWidth="1"/>
    <col min="4" max="4" width="38" customWidth="1"/>
    <col min="5" max="5" width="12" customWidth="1"/>
    <col min="6" max="6" width="18" customWidth="1"/>
    <col min="7" max="7" width="32" customWidth="1"/>
    <col min="8" max="8" width="34" customWidth="1"/>
  </cols>
  <sheetData>
    <row r="1" spans="1:8" x14ac:dyDescent="0.35">
      <c r="A1" s="9" t="s">
        <v>432</v>
      </c>
      <c r="B1" s="9"/>
      <c r="C1" s="9"/>
      <c r="D1" s="9"/>
      <c r="E1" s="9"/>
      <c r="F1" s="9"/>
      <c r="G1" s="9"/>
      <c r="H1" s="9"/>
    </row>
    <row r="3" spans="1:8" x14ac:dyDescent="0.35">
      <c r="A3" s="10" t="s">
        <v>433</v>
      </c>
      <c r="B3" s="10" t="s">
        <v>434</v>
      </c>
      <c r="C3" s="10" t="s">
        <v>435</v>
      </c>
      <c r="D3" s="10" t="s">
        <v>436</v>
      </c>
      <c r="E3" s="10" t="s">
        <v>437</v>
      </c>
      <c r="F3" s="10" t="s">
        <v>438</v>
      </c>
      <c r="G3" s="10" t="s">
        <v>439</v>
      </c>
      <c r="H3" s="10" t="s">
        <v>440</v>
      </c>
    </row>
    <row r="4" spans="1:8" x14ac:dyDescent="0.35">
      <c r="A4" s="11">
        <v>1</v>
      </c>
      <c r="B4" s="11" t="s">
        <v>441</v>
      </c>
      <c r="C4" s="11" t="s">
        <v>442</v>
      </c>
      <c r="D4" s="11" t="s">
        <v>443</v>
      </c>
      <c r="E4" s="11"/>
      <c r="F4" s="11" t="s">
        <v>332</v>
      </c>
      <c r="G4" s="11" t="s">
        <v>444</v>
      </c>
      <c r="H4" s="11" t="s">
        <v>445</v>
      </c>
    </row>
    <row r="5" spans="1:8" x14ac:dyDescent="0.35">
      <c r="A5" s="11">
        <v>2</v>
      </c>
      <c r="B5" s="11" t="s">
        <v>446</v>
      </c>
      <c r="C5" s="11" t="s">
        <v>447</v>
      </c>
      <c r="D5" s="11" t="s">
        <v>448</v>
      </c>
      <c r="E5" s="11"/>
      <c r="F5" s="11" t="s">
        <v>332</v>
      </c>
      <c r="G5" s="11" t="s">
        <v>449</v>
      </c>
      <c r="H5" s="11" t="s">
        <v>450</v>
      </c>
    </row>
    <row r="6" spans="1:8" x14ac:dyDescent="0.35">
      <c r="A6" s="11">
        <v>3</v>
      </c>
      <c r="B6" s="11" t="s">
        <v>451</v>
      </c>
      <c r="C6" s="11" t="s">
        <v>452</v>
      </c>
      <c r="D6" s="11" t="s">
        <v>453</v>
      </c>
      <c r="E6" s="11"/>
      <c r="F6" s="11" t="s">
        <v>332</v>
      </c>
      <c r="G6" s="11" t="s">
        <v>454</v>
      </c>
      <c r="H6" s="11" t="s">
        <v>455</v>
      </c>
    </row>
    <row r="7" spans="1:8" x14ac:dyDescent="0.35">
      <c r="A7" s="11">
        <v>4</v>
      </c>
      <c r="B7" s="11" t="s">
        <v>456</v>
      </c>
      <c r="C7" s="11" t="s">
        <v>457</v>
      </c>
      <c r="D7" s="11" t="s">
        <v>458</v>
      </c>
      <c r="E7" s="11"/>
      <c r="F7" s="11" t="s">
        <v>332</v>
      </c>
      <c r="G7" s="11" t="s">
        <v>459</v>
      </c>
      <c r="H7" s="11" t="s">
        <v>460</v>
      </c>
    </row>
    <row r="8" spans="1:8" x14ac:dyDescent="0.35">
      <c r="A8" s="11">
        <v>5</v>
      </c>
      <c r="B8" s="11" t="s">
        <v>461</v>
      </c>
      <c r="C8" s="11" t="s">
        <v>462</v>
      </c>
      <c r="D8" s="11" t="s">
        <v>463</v>
      </c>
      <c r="E8" s="11"/>
      <c r="F8" s="11" t="s">
        <v>332</v>
      </c>
      <c r="G8" s="11" t="s">
        <v>464</v>
      </c>
      <c r="H8" s="11" t="s">
        <v>465</v>
      </c>
    </row>
    <row r="9" spans="1:8" x14ac:dyDescent="0.35">
      <c r="A9" s="11">
        <v>6</v>
      </c>
      <c r="B9" s="11" t="s">
        <v>466</v>
      </c>
      <c r="C9" s="11" t="s">
        <v>467</v>
      </c>
      <c r="D9" s="11" t="s">
        <v>468</v>
      </c>
      <c r="E9" s="11"/>
      <c r="F9" s="11" t="s">
        <v>332</v>
      </c>
      <c r="G9" s="11" t="s">
        <v>469</v>
      </c>
      <c r="H9" s="11" t="s">
        <v>470</v>
      </c>
    </row>
    <row r="10" spans="1:8" x14ac:dyDescent="0.35">
      <c r="A10" s="11">
        <v>7</v>
      </c>
      <c r="B10" s="11" t="s">
        <v>471</v>
      </c>
      <c r="C10" s="11" t="s">
        <v>472</v>
      </c>
      <c r="D10" s="11" t="s">
        <v>473</v>
      </c>
      <c r="E10" s="11"/>
      <c r="F10" s="11" t="s">
        <v>332</v>
      </c>
      <c r="G10" s="11" t="s">
        <v>474</v>
      </c>
      <c r="H10" s="11" t="s">
        <v>475</v>
      </c>
    </row>
    <row r="11" spans="1:8" x14ac:dyDescent="0.35">
      <c r="A11" s="11">
        <v>8</v>
      </c>
      <c r="B11" s="11" t="s">
        <v>476</v>
      </c>
      <c r="C11" s="11" t="s">
        <v>477</v>
      </c>
      <c r="D11" s="11" t="s">
        <v>478</v>
      </c>
      <c r="E11" s="11"/>
      <c r="F11" s="11" t="s">
        <v>332</v>
      </c>
      <c r="G11" s="11" t="s">
        <v>479</v>
      </c>
      <c r="H11" s="11" t="s">
        <v>480</v>
      </c>
    </row>
    <row r="12" spans="1:8" x14ac:dyDescent="0.35">
      <c r="A12" s="11">
        <v>9</v>
      </c>
      <c r="B12" s="11" t="s">
        <v>481</v>
      </c>
      <c r="C12" s="11" t="s">
        <v>482</v>
      </c>
      <c r="D12" s="11" t="s">
        <v>483</v>
      </c>
      <c r="E12" s="11"/>
      <c r="F12" s="11" t="s">
        <v>332</v>
      </c>
      <c r="G12" s="11" t="s">
        <v>484</v>
      </c>
      <c r="H12" s="11" t="s">
        <v>485</v>
      </c>
    </row>
    <row r="13" spans="1:8" x14ac:dyDescent="0.35">
      <c r="A13" s="11">
        <v>10</v>
      </c>
      <c r="B13" s="11" t="s">
        <v>486</v>
      </c>
      <c r="C13" s="11" t="s">
        <v>487</v>
      </c>
      <c r="D13" s="11" t="s">
        <v>488</v>
      </c>
      <c r="E13" s="11"/>
      <c r="F13" s="11" t="s">
        <v>332</v>
      </c>
      <c r="G13" s="11" t="s">
        <v>489</v>
      </c>
      <c r="H13" s="11" t="s">
        <v>490</v>
      </c>
    </row>
    <row r="14" spans="1:8" x14ac:dyDescent="0.35">
      <c r="A14" s="11">
        <v>11</v>
      </c>
      <c r="B14" s="11" t="s">
        <v>491</v>
      </c>
      <c r="C14" s="11" t="s">
        <v>492</v>
      </c>
      <c r="D14" s="11" t="s">
        <v>493</v>
      </c>
      <c r="E14" s="11"/>
      <c r="F14" s="11" t="s">
        <v>332</v>
      </c>
      <c r="G14" s="11" t="s">
        <v>494</v>
      </c>
      <c r="H14" s="11" t="s">
        <v>495</v>
      </c>
    </row>
    <row r="15" spans="1:8" x14ac:dyDescent="0.35">
      <c r="A15" s="11">
        <v>12</v>
      </c>
      <c r="B15" s="11" t="s">
        <v>496</v>
      </c>
      <c r="C15" s="11" t="s">
        <v>497</v>
      </c>
      <c r="D15" s="11" t="s">
        <v>498</v>
      </c>
      <c r="E15" s="11"/>
      <c r="F15" s="11" t="s">
        <v>332</v>
      </c>
      <c r="G15" s="11" t="s">
        <v>499</v>
      </c>
      <c r="H15" s="11" t="s">
        <v>500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tabSelected="1" topLeftCell="A5" zoomScaleNormal="100" workbookViewId="0">
      <selection sqref="A1:E1"/>
    </sheetView>
  </sheetViews>
  <sheetFormatPr defaultColWidth="8.6328125" defaultRowHeight="14.5" x14ac:dyDescent="0.35"/>
  <cols>
    <col min="1" max="1" width="28" customWidth="1"/>
    <col min="2" max="2" width="24" customWidth="1"/>
    <col min="3" max="3" width="100" customWidth="1"/>
    <col min="4" max="4" width="38" customWidth="1"/>
    <col min="5" max="5" width="50" customWidth="1"/>
  </cols>
  <sheetData>
    <row r="1" spans="1:5" x14ac:dyDescent="0.35">
      <c r="A1" s="9" t="s">
        <v>501</v>
      </c>
      <c r="B1" s="9"/>
      <c r="C1" s="9"/>
      <c r="D1" s="9"/>
      <c r="E1" s="9"/>
    </row>
    <row r="3" spans="1:5" x14ac:dyDescent="0.35">
      <c r="A3" s="10" t="s">
        <v>502</v>
      </c>
      <c r="B3" s="10" t="s">
        <v>503</v>
      </c>
      <c r="C3" s="10" t="s">
        <v>504</v>
      </c>
      <c r="D3" s="10" t="s">
        <v>505</v>
      </c>
      <c r="E3" s="10" t="s">
        <v>506</v>
      </c>
    </row>
    <row r="4" spans="1:5" x14ac:dyDescent="0.35">
      <c r="A4" s="11" t="s">
        <v>507</v>
      </c>
      <c r="B4" s="11" t="s">
        <v>508</v>
      </c>
      <c r="C4" s="11" t="s">
        <v>509</v>
      </c>
      <c r="D4" s="11" t="s">
        <v>510</v>
      </c>
      <c r="E4" s="11" t="s">
        <v>511</v>
      </c>
    </row>
    <row r="5" spans="1:5" x14ac:dyDescent="0.35">
      <c r="A5" s="11" t="s">
        <v>512</v>
      </c>
      <c r="B5" s="11" t="s">
        <v>513</v>
      </c>
      <c r="C5" s="11" t="s">
        <v>514</v>
      </c>
      <c r="D5" s="11" t="s">
        <v>515</v>
      </c>
      <c r="E5" s="11" t="s">
        <v>516</v>
      </c>
    </row>
    <row r="6" spans="1:5" x14ac:dyDescent="0.35">
      <c r="A6" s="11" t="s">
        <v>517</v>
      </c>
      <c r="B6" s="11" t="s">
        <v>518</v>
      </c>
      <c r="C6" s="11" t="s">
        <v>519</v>
      </c>
      <c r="D6" s="11" t="s">
        <v>515</v>
      </c>
      <c r="E6" s="11" t="s">
        <v>520</v>
      </c>
    </row>
    <row r="7" spans="1:5" x14ac:dyDescent="0.35">
      <c r="A7" s="11" t="s">
        <v>521</v>
      </c>
      <c r="B7" s="11" t="s">
        <v>522</v>
      </c>
      <c r="C7" s="11" t="s">
        <v>523</v>
      </c>
      <c r="D7" s="11" t="s">
        <v>524</v>
      </c>
      <c r="E7" s="11" t="s">
        <v>525</v>
      </c>
    </row>
    <row r="8" spans="1:5" x14ac:dyDescent="0.35">
      <c r="A8" s="11" t="s">
        <v>526</v>
      </c>
      <c r="B8" s="11" t="s">
        <v>527</v>
      </c>
      <c r="C8" s="11" t="s">
        <v>528</v>
      </c>
      <c r="D8" s="11" t="s">
        <v>529</v>
      </c>
      <c r="E8" s="11" t="s">
        <v>530</v>
      </c>
    </row>
    <row r="9" spans="1:5" x14ac:dyDescent="0.35">
      <c r="A9" s="11" t="s">
        <v>531</v>
      </c>
      <c r="B9" s="11" t="s">
        <v>532</v>
      </c>
      <c r="C9" s="11" t="s">
        <v>533</v>
      </c>
      <c r="D9" s="11" t="s">
        <v>515</v>
      </c>
      <c r="E9" s="11" t="s">
        <v>530</v>
      </c>
    </row>
    <row r="10" spans="1:5" x14ac:dyDescent="0.35">
      <c r="A10" s="11" t="s">
        <v>534</v>
      </c>
      <c r="B10" s="11" t="s">
        <v>535</v>
      </c>
      <c r="C10" s="11" t="s">
        <v>536</v>
      </c>
      <c r="D10" s="11" t="s">
        <v>537</v>
      </c>
      <c r="E10" s="11" t="s">
        <v>538</v>
      </c>
    </row>
    <row r="11" spans="1:5" x14ac:dyDescent="0.35">
      <c r="A11" s="11" t="s">
        <v>539</v>
      </c>
      <c r="B11" s="11" t="s">
        <v>540</v>
      </c>
      <c r="C11" s="11" t="s">
        <v>541</v>
      </c>
      <c r="D11" s="11" t="s">
        <v>515</v>
      </c>
      <c r="E11" s="11" t="s">
        <v>530</v>
      </c>
    </row>
    <row r="12" spans="1:5" x14ac:dyDescent="0.35">
      <c r="A12" s="11" t="s">
        <v>542</v>
      </c>
      <c r="B12" s="11" t="s">
        <v>543</v>
      </c>
      <c r="C12" s="11" t="s">
        <v>544</v>
      </c>
      <c r="D12" s="11" t="s">
        <v>515</v>
      </c>
      <c r="E12" s="11" t="s">
        <v>530</v>
      </c>
    </row>
    <row r="13" spans="1:5" x14ac:dyDescent="0.35">
      <c r="A13" s="11" t="s">
        <v>545</v>
      </c>
      <c r="B13" s="11" t="s">
        <v>546</v>
      </c>
      <c r="C13" s="11" t="s">
        <v>547</v>
      </c>
      <c r="D13" s="11" t="s">
        <v>529</v>
      </c>
      <c r="E13" s="11" t="s">
        <v>548</v>
      </c>
    </row>
    <row r="14" spans="1:5" x14ac:dyDescent="0.35">
      <c r="A14" s="11" t="s">
        <v>549</v>
      </c>
      <c r="B14" s="11" t="s">
        <v>550</v>
      </c>
      <c r="C14" s="11" t="s">
        <v>551</v>
      </c>
      <c r="D14" s="11" t="s">
        <v>552</v>
      </c>
      <c r="E14" s="11" t="s">
        <v>553</v>
      </c>
    </row>
    <row r="15" spans="1:5" x14ac:dyDescent="0.35">
      <c r="A15" s="11" t="s">
        <v>554</v>
      </c>
      <c r="B15" s="11" t="s">
        <v>555</v>
      </c>
      <c r="C15" s="11" t="s">
        <v>556</v>
      </c>
      <c r="D15" s="11" t="s">
        <v>554</v>
      </c>
      <c r="E15" s="11" t="s">
        <v>557</v>
      </c>
    </row>
    <row r="16" spans="1:5" x14ac:dyDescent="0.35">
      <c r="A16" s="39" t="s">
        <v>558</v>
      </c>
      <c r="B16" s="40"/>
      <c r="C16" s="40"/>
      <c r="D16" s="40"/>
      <c r="E16" s="40"/>
    </row>
    <row r="17" spans="1:5" ht="22.5" customHeight="1" x14ac:dyDescent="0.35">
      <c r="A17" s="41" t="s">
        <v>559</v>
      </c>
      <c r="B17" s="41" t="s">
        <v>560</v>
      </c>
      <c r="C17" s="41" t="s">
        <v>561</v>
      </c>
      <c r="D17" s="41" t="s">
        <v>562</v>
      </c>
      <c r="E17" s="41" t="s">
        <v>563</v>
      </c>
    </row>
    <row r="18" spans="1:5" x14ac:dyDescent="0.35">
      <c r="A18" s="42" t="s">
        <v>564</v>
      </c>
      <c r="B18" s="42" t="s">
        <v>524</v>
      </c>
      <c r="C18" s="42" t="s">
        <v>565</v>
      </c>
      <c r="D18" s="42" t="s">
        <v>566</v>
      </c>
      <c r="E18" s="42" t="s">
        <v>567</v>
      </c>
    </row>
    <row r="19" spans="1:5" ht="22.5" customHeight="1" x14ac:dyDescent="0.35">
      <c r="A19" s="41" t="s">
        <v>568</v>
      </c>
      <c r="B19" s="41" t="s">
        <v>560</v>
      </c>
      <c r="C19" s="41" t="s">
        <v>569</v>
      </c>
      <c r="D19" s="41" t="s">
        <v>570</v>
      </c>
      <c r="E19" s="41" t="s">
        <v>571</v>
      </c>
    </row>
    <row r="20" spans="1:5" ht="22.5" customHeight="1" x14ac:dyDescent="0.35">
      <c r="A20" s="42" t="s">
        <v>572</v>
      </c>
      <c r="B20" s="42" t="s">
        <v>560</v>
      </c>
      <c r="C20" s="42" t="s">
        <v>573</v>
      </c>
      <c r="D20" s="42" t="s">
        <v>574</v>
      </c>
      <c r="E20" s="42" t="s">
        <v>575</v>
      </c>
    </row>
    <row r="21" spans="1:5" ht="22.5" customHeight="1" x14ac:dyDescent="0.35">
      <c r="A21" s="41" t="s">
        <v>576</v>
      </c>
      <c r="B21" s="41" t="s">
        <v>560</v>
      </c>
      <c r="C21" s="41" t="s">
        <v>577</v>
      </c>
      <c r="D21" s="41" t="s">
        <v>578</v>
      </c>
      <c r="E21" s="41" t="s">
        <v>579</v>
      </c>
    </row>
    <row r="22" spans="1:5" ht="22.5" customHeight="1" x14ac:dyDescent="0.35">
      <c r="A22" s="42" t="s">
        <v>580</v>
      </c>
      <c r="B22" s="42" t="s">
        <v>560</v>
      </c>
      <c r="C22" s="42" t="s">
        <v>581</v>
      </c>
      <c r="D22" s="42" t="s">
        <v>582</v>
      </c>
      <c r="E22" s="42" t="s">
        <v>583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36" customWidth="1"/>
    <col min="3" max="3" width="68" customWidth="1"/>
    <col min="4" max="4" width="46" customWidth="1"/>
  </cols>
  <sheetData>
    <row r="1" spans="1:4" x14ac:dyDescent="0.35">
      <c r="A1" s="9" t="s">
        <v>584</v>
      </c>
      <c r="B1" s="9"/>
      <c r="C1" s="9"/>
      <c r="D1" s="9"/>
    </row>
    <row r="3" spans="1:4" x14ac:dyDescent="0.35">
      <c r="A3" s="10" t="s">
        <v>585</v>
      </c>
      <c r="B3" s="10" t="s">
        <v>502</v>
      </c>
      <c r="C3" s="10" t="s">
        <v>586</v>
      </c>
      <c r="D3" s="10" t="s">
        <v>9</v>
      </c>
    </row>
    <row r="4" spans="1:4" x14ac:dyDescent="0.35">
      <c r="A4" s="11" t="s">
        <v>587</v>
      </c>
      <c r="B4" s="11" t="s">
        <v>588</v>
      </c>
      <c r="C4" s="11" t="s">
        <v>589</v>
      </c>
      <c r="D4" s="11" t="s">
        <v>590</v>
      </c>
    </row>
    <row r="5" spans="1:4" x14ac:dyDescent="0.35">
      <c r="A5" s="11" t="s">
        <v>591</v>
      </c>
      <c r="B5" s="11" t="s">
        <v>592</v>
      </c>
      <c r="C5" s="11" t="s">
        <v>593</v>
      </c>
      <c r="D5" s="11" t="s">
        <v>594</v>
      </c>
    </row>
    <row r="6" spans="1:4" x14ac:dyDescent="0.35">
      <c r="A6" s="11" t="s">
        <v>595</v>
      </c>
      <c r="B6" s="11" t="s">
        <v>596</v>
      </c>
      <c r="C6" s="11" t="s">
        <v>597</v>
      </c>
      <c r="D6" s="11" t="s">
        <v>598</v>
      </c>
    </row>
    <row r="7" spans="1:4" x14ac:dyDescent="0.35">
      <c r="A7" s="11" t="s">
        <v>599</v>
      </c>
      <c r="B7" s="11" t="s">
        <v>600</v>
      </c>
      <c r="C7" s="11" t="s">
        <v>601</v>
      </c>
      <c r="D7" s="11" t="s">
        <v>602</v>
      </c>
    </row>
    <row r="8" spans="1:4" x14ac:dyDescent="0.35">
      <c r="A8" s="11" t="s">
        <v>603</v>
      </c>
      <c r="B8" s="11" t="s">
        <v>604</v>
      </c>
      <c r="C8" s="11" t="s">
        <v>605</v>
      </c>
      <c r="D8" s="11" t="s">
        <v>606</v>
      </c>
    </row>
    <row r="9" spans="1:4" x14ac:dyDescent="0.35">
      <c r="A9" s="11" t="s">
        <v>607</v>
      </c>
      <c r="B9" s="11" t="s">
        <v>608</v>
      </c>
      <c r="C9" s="11" t="s">
        <v>609</v>
      </c>
      <c r="D9" s="11" t="s">
        <v>610</v>
      </c>
    </row>
    <row r="10" spans="1:4" x14ac:dyDescent="0.35">
      <c r="A10" s="11" t="s">
        <v>611</v>
      </c>
      <c r="B10" s="11" t="s">
        <v>612</v>
      </c>
      <c r="C10" s="11" t="s">
        <v>613</v>
      </c>
      <c r="D10" s="11" t="s">
        <v>614</v>
      </c>
    </row>
    <row r="11" spans="1:4" x14ac:dyDescent="0.35">
      <c r="A11" s="11" t="s">
        <v>615</v>
      </c>
      <c r="B11" s="11" t="s">
        <v>616</v>
      </c>
      <c r="C11" s="11" t="s">
        <v>617</v>
      </c>
      <c r="D11" s="11" t="s">
        <v>618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58" customWidth="1"/>
    <col min="4" max="4" width="48" customWidth="1"/>
    <col min="5" max="5" width="38" customWidth="1"/>
    <col min="6" max="6" width="30" customWidth="1"/>
    <col min="7" max="7" width="34" customWidth="1"/>
  </cols>
  <sheetData>
    <row r="1" spans="1:7" ht="25.5" customHeight="1" x14ac:dyDescent="0.35">
      <c r="A1" s="3" t="s">
        <v>619</v>
      </c>
      <c r="B1" s="3"/>
      <c r="C1" s="3"/>
      <c r="D1" s="3"/>
      <c r="E1" s="3"/>
      <c r="F1" s="3"/>
      <c r="G1" s="3"/>
    </row>
    <row r="2" spans="1:7" ht="31.5" customHeight="1" x14ac:dyDescent="0.35">
      <c r="A2" s="2" t="s">
        <v>620</v>
      </c>
      <c r="B2" s="2"/>
      <c r="C2" s="2"/>
      <c r="D2" s="2"/>
      <c r="E2" s="2"/>
      <c r="F2" s="2"/>
      <c r="G2" s="2"/>
    </row>
    <row r="4" spans="1:7" ht="27.75" customHeight="1" x14ac:dyDescent="0.35">
      <c r="A4" s="43" t="s">
        <v>621</v>
      </c>
      <c r="B4" s="43" t="s">
        <v>622</v>
      </c>
      <c r="C4" s="43" t="s">
        <v>623</v>
      </c>
      <c r="D4" s="43" t="s">
        <v>624</v>
      </c>
      <c r="E4" s="43" t="s">
        <v>625</v>
      </c>
      <c r="F4" s="43" t="s">
        <v>626</v>
      </c>
      <c r="G4" s="43" t="s">
        <v>627</v>
      </c>
    </row>
    <row r="5" spans="1:7" ht="48" customHeight="1" x14ac:dyDescent="0.35">
      <c r="A5" s="44" t="s">
        <v>628</v>
      </c>
      <c r="B5" s="44" t="s">
        <v>629</v>
      </c>
      <c r="C5" s="44" t="s">
        <v>630</v>
      </c>
      <c r="D5" s="44" t="s">
        <v>631</v>
      </c>
      <c r="E5" s="44" t="s">
        <v>632</v>
      </c>
      <c r="F5" s="44" t="s">
        <v>559</v>
      </c>
      <c r="G5" s="44" t="s">
        <v>633</v>
      </c>
    </row>
    <row r="6" spans="1:7" ht="48" customHeight="1" x14ac:dyDescent="0.35">
      <c r="A6" s="45" t="s">
        <v>634</v>
      </c>
      <c r="B6" s="45" t="s">
        <v>635</v>
      </c>
      <c r="C6" s="45" t="s">
        <v>565</v>
      </c>
      <c r="D6" s="45" t="s">
        <v>636</v>
      </c>
      <c r="E6" s="45" t="s">
        <v>637</v>
      </c>
      <c r="F6" s="45" t="s">
        <v>564</v>
      </c>
      <c r="G6" s="45" t="s">
        <v>638</v>
      </c>
    </row>
    <row r="7" spans="1:7" ht="48" customHeight="1" x14ac:dyDescent="0.35">
      <c r="A7" s="44" t="s">
        <v>639</v>
      </c>
      <c r="B7" s="44" t="s">
        <v>640</v>
      </c>
      <c r="C7" s="44" t="s">
        <v>641</v>
      </c>
      <c r="D7" s="44" t="s">
        <v>642</v>
      </c>
      <c r="E7" s="44" t="s">
        <v>643</v>
      </c>
      <c r="F7" s="44" t="s">
        <v>644</v>
      </c>
      <c r="G7" s="44" t="s">
        <v>645</v>
      </c>
    </row>
    <row r="8" spans="1:7" ht="48" customHeight="1" x14ac:dyDescent="0.35">
      <c r="A8" s="45" t="s">
        <v>646</v>
      </c>
      <c r="B8" s="45" t="s">
        <v>647</v>
      </c>
      <c r="C8" s="45" t="s">
        <v>648</v>
      </c>
      <c r="D8" s="45" t="s">
        <v>649</v>
      </c>
      <c r="E8" s="45" t="s">
        <v>650</v>
      </c>
      <c r="F8" s="45" t="s">
        <v>568</v>
      </c>
      <c r="G8" s="45" t="s">
        <v>651</v>
      </c>
    </row>
    <row r="9" spans="1:7" ht="48" customHeight="1" x14ac:dyDescent="0.35">
      <c r="A9" s="44" t="s">
        <v>652</v>
      </c>
      <c r="B9" s="44" t="s">
        <v>574</v>
      </c>
      <c r="C9" s="44" t="s">
        <v>653</v>
      </c>
      <c r="D9" s="44" t="s">
        <v>654</v>
      </c>
      <c r="E9" s="44" t="s">
        <v>655</v>
      </c>
      <c r="F9" s="44" t="s">
        <v>572</v>
      </c>
      <c r="G9" s="44" t="s">
        <v>656</v>
      </c>
    </row>
    <row r="10" spans="1:7" ht="48" customHeight="1" x14ac:dyDescent="0.35">
      <c r="A10" s="45" t="s">
        <v>657</v>
      </c>
      <c r="B10" s="45" t="s">
        <v>658</v>
      </c>
      <c r="C10" s="45" t="s">
        <v>659</v>
      </c>
      <c r="D10" s="45" t="s">
        <v>660</v>
      </c>
      <c r="E10" s="45" t="s">
        <v>661</v>
      </c>
      <c r="F10" s="45" t="s">
        <v>576</v>
      </c>
      <c r="G10" s="45" t="s">
        <v>662</v>
      </c>
    </row>
    <row r="11" spans="1:7" ht="48" customHeight="1" x14ac:dyDescent="0.35">
      <c r="A11" s="44" t="s">
        <v>663</v>
      </c>
      <c r="B11" s="44" t="s">
        <v>664</v>
      </c>
      <c r="C11" s="44" t="s">
        <v>665</v>
      </c>
      <c r="D11" s="44" t="s">
        <v>666</v>
      </c>
      <c r="E11" s="44" t="s">
        <v>667</v>
      </c>
      <c r="F11" s="44" t="s">
        <v>580</v>
      </c>
      <c r="G11" s="44" t="s">
        <v>668</v>
      </c>
    </row>
    <row r="12" spans="1:7" ht="27.75" customHeight="1" x14ac:dyDescent="0.35"/>
    <row r="13" spans="1:7" ht="27.75" customHeight="1" x14ac:dyDescent="0.35"/>
    <row r="14" spans="1:7" ht="27.75" customHeight="1" x14ac:dyDescent="0.35">
      <c r="A14" s="1" t="s">
        <v>669</v>
      </c>
      <c r="B14" s="1"/>
      <c r="C14" s="1"/>
      <c r="D14" s="1"/>
      <c r="E14" s="1"/>
      <c r="F14" s="1"/>
      <c r="G14" s="1"/>
    </row>
    <row r="15" spans="1:7" ht="27.75" customHeight="1" x14ac:dyDescent="0.35">
      <c r="A15" s="46" t="s">
        <v>670</v>
      </c>
      <c r="B15" s="41" t="s">
        <v>671</v>
      </c>
      <c r="C15" s="47"/>
      <c r="D15" s="47"/>
      <c r="E15" s="47"/>
      <c r="F15" s="47"/>
      <c r="G15" s="47"/>
    </row>
    <row r="16" spans="1:7" ht="27.75" customHeight="1" x14ac:dyDescent="0.35">
      <c r="A16" s="48" t="s">
        <v>672</v>
      </c>
      <c r="B16" s="42" t="s">
        <v>673</v>
      </c>
      <c r="C16" s="49"/>
      <c r="D16" s="49"/>
      <c r="E16" s="49"/>
      <c r="F16" s="49"/>
      <c r="G16" s="49"/>
    </row>
    <row r="17" spans="1:7" ht="27.75" customHeight="1" x14ac:dyDescent="0.35">
      <c r="A17" s="46" t="s">
        <v>674</v>
      </c>
      <c r="B17" s="41" t="s">
        <v>675</v>
      </c>
      <c r="C17" s="47"/>
      <c r="D17" s="47"/>
      <c r="E17" s="47"/>
      <c r="F17" s="47"/>
      <c r="G17" s="47"/>
    </row>
    <row r="18" spans="1:7" ht="27.75" customHeight="1" x14ac:dyDescent="0.35">
      <c r="A18" s="48" t="s">
        <v>676</v>
      </c>
      <c r="B18" s="42" t="s">
        <v>677</v>
      </c>
      <c r="C18" s="49"/>
      <c r="D18" s="49"/>
      <c r="E18" s="49"/>
      <c r="F18" s="49"/>
      <c r="G18" s="49"/>
    </row>
    <row r="19" spans="1:7" ht="27.75" customHeight="1" x14ac:dyDescent="0.35"/>
    <row r="20" spans="1:7" ht="27.75" customHeight="1" x14ac:dyDescent="0.35"/>
    <row r="21" spans="1:7" ht="27.75" customHeight="1" x14ac:dyDescent="0.35"/>
  </sheetData>
  <mergeCells count="3">
    <mergeCell ref="A1:G1"/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Base_Assumptions</vt:lpstr>
      <vt:lpstr>Product_Calcs</vt:lpstr>
      <vt:lpstr>Stream_Table_Template</vt:lpstr>
      <vt:lpstr>Mass_Energy_Closure</vt:lpstr>
      <vt:lpstr>Equipment_Sizing</vt:lpstr>
      <vt:lpstr>Aspen_V14_Build</vt:lpstr>
      <vt:lpstr>References_ACS_Zotero</vt:lpstr>
      <vt:lpstr>Aspen_Resources</vt:lpstr>
      <vt:lpstr>Research_Papers_Citation_Map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Heien</cp:lastModifiedBy>
  <cp:revision>2</cp:revision>
  <dcterms:created xsi:type="dcterms:W3CDTF">2026-04-28T17:20:28Z</dcterms:created>
  <dcterms:modified xsi:type="dcterms:W3CDTF">2026-04-30T23:52:49Z</dcterms:modified>
  <dc:language>en-US</dc:language>
</cp:coreProperties>
</file>