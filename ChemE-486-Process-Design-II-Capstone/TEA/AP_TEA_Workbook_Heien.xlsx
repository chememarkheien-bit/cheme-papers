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_INPUTS" sheetId="2" state="visible" r:id="rId2"/>
    <sheet xmlns:r="http://schemas.openxmlformats.org/officeDocument/2006/relationships" name="AP_CAPEX" sheetId="3" state="visible" r:id="rId3"/>
    <sheet xmlns:r="http://schemas.openxmlformats.org/officeDocument/2006/relationships" name="AP_OPEX" sheetId="4" state="visible" r:id="rId4"/>
    <sheet xmlns:r="http://schemas.openxmlformats.org/officeDocument/2006/relationships" name="AP_CASHFLOW" sheetId="5" state="visible" r:id="rId5"/>
    <sheet xmlns:r="http://schemas.openxmlformats.org/officeDocument/2006/relationships" name="AP_REPORT_OUTPUTS" sheetId="6" state="visible" r:id="rId6"/>
    <sheet xmlns:r="http://schemas.openxmlformats.org/officeDocument/2006/relationships" name="AP_SENSITIVITY" sheetId="7" state="visible" r:id="rId7"/>
    <sheet xmlns:r="http://schemas.openxmlformats.org/officeDocument/2006/relationships" name="AP_FORMULA_MAP" sheetId="8" state="visible" r:id="rId8"/>
    <sheet xmlns:r="http://schemas.openxmlformats.org/officeDocument/2006/relationships" name="AP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General_)"/>
  </numFmts>
  <fonts count="8">
    <font>
      <name val="Calibri"/>
      <family val="2"/>
      <color theme="1"/>
      <sz val="11"/>
      <scheme val="minor"/>
    </font>
    <font>
      <name val="Courier New"/>
      <charset val="1"/>
      <sz val="10"/>
    </font>
    <font>
      <name val="Cambria"/>
      <charset val="1"/>
      <b val="1"/>
      <sz val="11"/>
    </font>
    <font>
      <name val="Cambria"/>
      <charset val="1"/>
      <color rgb="FF0000FF"/>
      <sz val="11"/>
    </font>
    <font>
      <name val="Cambria"/>
      <charset val="1"/>
      <color rgb="FF008000"/>
      <sz val="11"/>
    </font>
    <font>
      <name val="Cambria"/>
      <charset val="1"/>
      <b val="1"/>
      <sz val="13"/>
    </font>
    <font>
      <name val="Cambria"/>
      <charset val="1"/>
      <b val="1"/>
      <color rgb="FF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rgb="FFFFC000"/>
      </patternFill>
    </fill>
    <fill>
      <patternFill patternType="solid">
        <fgColor rgb="FFFFC7CE"/>
        <bgColor rgb="FFFCD5B5"/>
      </patternFill>
    </fill>
    <fill>
      <patternFill patternType="solid">
        <fgColor rgb="FF4472C4"/>
        <bgColor rgb="FF467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Apple Pomace to Ethanol - Techno-Economic Analysis</t>
        </is>
      </c>
    </row>
    <row r="2">
      <c r="A2" t="inlineStr">
        <is>
          <t>Mark A. Heien - ChemE 486 Process Design II, University of Washington, Spring 2026</t>
        </is>
      </c>
    </row>
    <row r="3">
      <c r="A3" t="inlineStr">
        <is>
          <t>First place, Bowen Award.</t>
        </is>
      </c>
    </row>
    <row r="4">
      <c r="A4" t="inlineStr"/>
    </row>
    <row r="5">
      <c r="A5" s="1" t="inlineStr">
        <is>
          <t>WHAT THIS FILE IS</t>
        </is>
      </c>
    </row>
    <row r="6">
      <c r="A6" t="inlineStr">
        <is>
          <t>The eight AP_ worksheets in this workbook are my own techno-economic model for the</t>
        </is>
      </c>
    </row>
    <row r="7">
      <c r="A7" t="inlineStr">
        <is>
          <t>retrofit of Seattle Gas Works Park into a cellulosic ethanol plant fed by Washington</t>
        </is>
      </c>
    </row>
    <row r="8">
      <c r="A8" t="inlineStr">
        <is>
          <t>apple pomace. Formulas are live - this is the working model, not a values dump.</t>
        </is>
      </c>
    </row>
    <row r="9">
      <c r="A9" t="inlineStr"/>
    </row>
    <row r="10">
      <c r="A10" s="1" t="inlineStr">
        <is>
          <t>PROVENANCE - PLEASE READ</t>
        </is>
      </c>
    </row>
    <row r="11">
      <c r="A11" t="inlineStr">
        <is>
          <t>The model was originally built as an added layer inside the NREL biochemical-ethanol</t>
        </is>
      </c>
    </row>
    <row r="12">
      <c r="A12" t="inlineStr">
        <is>
          <t>design workbook (dw1910), authored by David Humbird et al. and distributed with NREL</t>
        </is>
      </c>
    </row>
    <row r="13">
      <c r="A13" t="inlineStr">
        <is>
          <t>report NREL/TP-5100-47764, "Process Design and Economics for Biochemical Conversion of</t>
        </is>
      </c>
    </row>
    <row r="14">
      <c r="A14" t="inlineStr">
        <is>
          <t>Lignocellulosic Biomass to Ethanol" (2011).</t>
        </is>
      </c>
    </row>
    <row r="15">
      <c r="A15" t="inlineStr"/>
    </row>
    <row r="16">
      <c r="A16" t="inlineStr">
        <is>
          <t>This file contains ONLY my own AP_ sheets. The 15 NREL worksheets and the workbook</t>
        </is>
      </c>
    </row>
    <row r="17">
      <c r="A17" t="inlineStr">
        <is>
          <t>macros have been removed, so nothing here is redistributed third-party work. My sheets</t>
        </is>
      </c>
    </row>
    <row r="18">
      <c r="A18" t="inlineStr">
        <is>
          <t>reference none of the NREL sheets - they are fully self-contained.</t>
        </is>
      </c>
    </row>
    <row r="19">
      <c r="A19" t="inlineStr"/>
    </row>
    <row r="20">
      <c r="A20" s="1" t="inlineStr">
        <is>
          <t>SHEETS</t>
        </is>
      </c>
    </row>
    <row r="21">
      <c r="A21" t="inlineStr">
        <is>
          <t>AP_INPUTS          Assumptions: CEPCI indices, discount rate, plant life, tax, depreciation</t>
        </is>
      </c>
    </row>
    <row r="22">
      <c r="A22" t="inlineStr">
        <is>
          <t>AP_CAPEX           Equipment costing by process area; six-tenths scaling, CEPCI escalation</t>
        </is>
      </c>
    </row>
    <row r="23">
      <c r="A23" t="inlineStr">
        <is>
          <t>AP_OPEX            Annual operating cost: feedstock, transport, acid, utilities, labour</t>
        </is>
      </c>
    </row>
    <row r="24">
      <c r="A24" t="inlineStr">
        <is>
          <t>AP_CASHFLOW        20-year discounted cash flow, NPV and minimum selling price</t>
        </is>
      </c>
    </row>
    <row r="25">
      <c r="A25" t="inlineStr">
        <is>
          <t>AP_REPORT_OUTPUTS  ISBL / FCI / TCI / MSP - the figures quoted in the written report</t>
        </is>
      </c>
    </row>
    <row r="26">
      <c r="A26" t="inlineStr">
        <is>
          <t>AP_SENSITIVITY     Tornado analysis: MSP response to capital, OPEX, yield, price</t>
        </is>
      </c>
    </row>
    <row r="27">
      <c r="A27" t="inlineStr">
        <is>
          <t>AP_FORMULA_MAP     Each costing correlation used, in plain language</t>
        </is>
      </c>
    </row>
    <row r="28">
      <c r="A28" t="inlineStr">
        <is>
          <t>AP_COMPARISON      1900s coal-to-city-gas vs. modern pomace-to-ethanol economics</t>
        </is>
      </c>
    </row>
    <row r="29">
      <c r="A29" t="inlineStr"/>
    </row>
    <row r="30">
      <c r="A30" t="inlineStr">
        <is>
          <t>Mark A. Heien - ChemEMarkHeien@gmail.com - linkedin.com/in/markheien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Inputs</t>
        </is>
      </c>
    </row>
    <row r="2" ht="12" customHeight="1">
      <c r="A2" s="2" t="inlineStr">
        <is>
          <t>Input cells can be replaced with your final team values.</t>
        </is>
      </c>
    </row>
    <row r="3" ht="12" customHeight="1">
      <c r="A3" s="2" t="inlineStr">
        <is>
          <t>Input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Used for</t>
        </is>
      </c>
    </row>
    <row r="4" ht="12" customHeight="1">
      <c r="A4" s="2" t="inlineStr">
        <is>
          <t>Current CEPCI</t>
        </is>
      </c>
      <c r="B4" s="2" t="n">
        <v>797.9</v>
      </c>
      <c r="C4" s="2" t="inlineStr">
        <is>
          <t>index</t>
        </is>
      </c>
      <c r="D4" s="2" t="inlineStr">
        <is>
          <t>Cost escalation</t>
        </is>
      </c>
    </row>
    <row r="5" ht="12" customHeight="1">
      <c r="A5" s="2" t="inlineStr">
        <is>
          <t>Base CEPCI</t>
        </is>
      </c>
      <c r="B5" s="2" t="n">
        <v>567</v>
      </c>
      <c r="C5" s="2" t="inlineStr">
        <is>
          <t>index</t>
        </is>
      </c>
      <c r="D5" s="2" t="inlineStr">
        <is>
          <t>Cost escalation</t>
        </is>
      </c>
    </row>
    <row r="6" ht="12" customHeight="1">
      <c r="A6" s="2" t="inlineStr">
        <is>
          <t>Discount rate</t>
        </is>
      </c>
      <c r="B6" s="2" t="n">
        <v>0.1</v>
      </c>
      <c r="C6" s="2" t="inlineStr">
        <is>
          <t>fraction</t>
        </is>
      </c>
      <c r="D6" s="2" t="inlineStr">
        <is>
          <t>CRF and NPV</t>
        </is>
      </c>
    </row>
    <row r="7" ht="12" customHeight="1">
      <c r="A7" s="2" t="inlineStr">
        <is>
          <t>Plant life</t>
        </is>
      </c>
      <c r="B7" s="2" t="n">
        <v>20</v>
      </c>
      <c r="C7" s="2" t="inlineStr">
        <is>
          <t>years</t>
        </is>
      </c>
      <c r="D7" s="2" t="inlineStr">
        <is>
          <t>CRF and cash flow</t>
        </is>
      </c>
    </row>
    <row r="8" ht="12" customHeight="1">
      <c r="A8" s="2" t="inlineStr">
        <is>
          <t>Tax rate</t>
        </is>
      </c>
      <c r="B8" s="2" t="n">
        <v>0.21</v>
      </c>
      <c r="C8" s="2" t="inlineStr">
        <is>
          <t>fraction</t>
        </is>
      </c>
      <c r="D8" s="2" t="inlineStr">
        <is>
          <t>Cash flow</t>
        </is>
      </c>
    </row>
    <row r="9" ht="12" customHeight="1">
      <c r="A9" s="2" t="inlineStr">
        <is>
          <t>Depreciation years</t>
        </is>
      </c>
      <c r="B9" s="2" t="n">
        <v>7</v>
      </c>
      <c r="C9" s="2" t="inlineStr">
        <is>
          <t>years</t>
        </is>
      </c>
      <c r="D9" s="2" t="inlineStr">
        <is>
          <t>Cash flow</t>
        </is>
      </c>
    </row>
    <row r="10" ht="12" customHeight="1">
      <c r="A10" s="2" t="inlineStr">
        <is>
          <t>Operating start year</t>
        </is>
      </c>
      <c r="B10" s="2" t="n">
        <v>3</v>
      </c>
      <c r="C10" s="2" t="inlineStr">
        <is>
          <t>year</t>
        </is>
      </c>
      <c r="D10" s="2" t="inlineStr">
        <is>
          <t>Cash flow</t>
        </is>
      </c>
    </row>
    <row r="11" ht="12" customHeight="1">
      <c r="A11" s="2" t="inlineStr">
        <is>
          <t>Annual ethanol production</t>
        </is>
      </c>
      <c r="B11" s="2">
        <f>B37</f>
        <v/>
      </c>
      <c r="C11" s="2" t="inlineStr">
        <is>
          <t>gal/yr</t>
        </is>
      </c>
      <c r="D11" s="2" t="inlineStr">
        <is>
          <t>MSP denominator</t>
        </is>
      </c>
    </row>
    <row r="12" ht="12" customHeight="1">
      <c r="A12" s="2" t="inlineStr">
        <is>
          <t>Market ethanol price</t>
        </is>
      </c>
      <c r="B12" s="2" t="n">
        <v>2.02</v>
      </c>
      <c r="C12" s="2" t="inlineStr">
        <is>
          <t>$/gal</t>
        </is>
      </c>
      <c r="D12" s="2" t="inlineStr">
        <is>
          <t>NPV check</t>
        </is>
      </c>
    </row>
    <row r="13" ht="12" customHeight="1">
      <c r="A13" s="2" t="inlineStr">
        <is>
          <t>Annual coproduct credits</t>
        </is>
      </c>
      <c r="B13" s="2" t="n">
        <v>0</v>
      </c>
      <c r="C13" s="2" t="inlineStr">
        <is>
          <t>$/yr</t>
        </is>
      </c>
      <c r="D13" s="2" t="inlineStr">
        <is>
          <t>Revenue credit</t>
        </is>
      </c>
    </row>
    <row r="14" ht="12" customHeight="1">
      <c r="A14" s="2" t="inlineStr">
        <is>
          <t>Construction Year 0 % of TCI</t>
        </is>
      </c>
      <c r="B14" s="2" t="n">
        <v>0.4</v>
      </c>
      <c r="C14" s="2" t="inlineStr">
        <is>
          <t>fraction</t>
        </is>
      </c>
      <c r="D14" s="2" t="inlineStr">
        <is>
          <t>Capital schedule</t>
        </is>
      </c>
    </row>
    <row r="15" ht="12" customHeight="1">
      <c r="A15" s="2" t="inlineStr">
        <is>
          <t>Construction Year 1 % of TCI</t>
        </is>
      </c>
      <c r="B15" s="2" t="n">
        <v>0.4</v>
      </c>
      <c r="C15" s="2" t="inlineStr">
        <is>
          <t>fraction</t>
        </is>
      </c>
      <c r="D15" s="2" t="inlineStr">
        <is>
          <t>Capital schedule</t>
        </is>
      </c>
    </row>
    <row r="16" ht="12" customHeight="1">
      <c r="A16" s="2" t="inlineStr">
        <is>
          <t>Startup Year % of TCI</t>
        </is>
      </c>
      <c r="B16" s="2" t="n">
        <v>0.2</v>
      </c>
      <c r="C16" s="2" t="inlineStr">
        <is>
          <t>fraction</t>
        </is>
      </c>
      <c r="D16" s="2" t="inlineStr">
        <is>
          <t>Capital schedule</t>
        </is>
      </c>
    </row>
    <row r="17" ht="12" customHeight="1">
      <c r="A17" s="2" t="inlineStr">
        <is>
          <t>Working capital % of FCI</t>
        </is>
      </c>
      <c r="B17" s="2" t="n">
        <v>0.1</v>
      </c>
      <c r="C17" s="2" t="inlineStr">
        <is>
          <t>fraction</t>
        </is>
      </c>
      <c r="D17" s="2" t="inlineStr">
        <is>
          <t>TCI/cash flow</t>
        </is>
      </c>
    </row>
    <row r="18" ht="12" customHeight="1">
      <c r="A18" s="2" t="inlineStr">
        <is>
          <t>Salvage % of FCI</t>
        </is>
      </c>
      <c r="B18" s="2" t="n">
        <v>0</v>
      </c>
      <c r="C18" s="2" t="inlineStr">
        <is>
          <t>fraction</t>
        </is>
      </c>
      <c r="D18" s="2" t="inlineStr">
        <is>
          <t>Final year credit</t>
        </is>
      </c>
    </row>
    <row r="19" ht="12" customHeight="1">
      <c r="A19" s="2" t="inlineStr">
        <is>
          <t>Land cost</t>
        </is>
      </c>
      <c r="B19" s="2" t="n">
        <v>0</v>
      </c>
      <c r="C19" s="2" t="inlineStr">
        <is>
          <t>$</t>
        </is>
      </c>
      <c r="D19" s="2" t="inlineStr">
        <is>
          <t>TCI</t>
        </is>
      </c>
    </row>
    <row r="20" ht="12" customHeight="1">
      <c r="A20" s="2" t="inlineStr">
        <is>
          <t>Plant uptime</t>
        </is>
      </c>
      <c r="B20" s="2" t="n">
        <v>0.85</v>
      </c>
      <c r="C20" s="2" t="inlineStr">
        <is>
          <t>fraction</t>
        </is>
      </c>
      <c r="D20" s="2" t="inlineStr">
        <is>
          <t>Production adjustment</t>
        </is>
      </c>
    </row>
    <row r="21" ht="12" customHeight="1"/>
    <row r="22" ht="12" customHeight="1">
      <c r="A22" s="2" t="inlineStr">
        <is>
          <t>Capital factor defaults from lecture</t>
        </is>
      </c>
    </row>
    <row r="23" ht="12" customHeight="1">
      <c r="A23" s="2" t="inlineStr">
        <is>
          <t>OSBL as % of ISBL</t>
        </is>
      </c>
      <c r="B23" s="2" t="n">
        <v>0.25</v>
      </c>
      <c r="C23" s="2" t="inlineStr">
        <is>
          <t>fraction</t>
        </is>
      </c>
      <c r="D23" s="2" t="inlineStr">
        <is>
          <t>CAPEX</t>
        </is>
      </c>
    </row>
    <row r="24" ht="12" customHeight="1">
      <c r="A24" s="2" t="inlineStr">
        <is>
          <t>Additional direct costs as % of ISBL</t>
        </is>
      </c>
      <c r="B24" s="2" t="n">
        <v>0.175</v>
      </c>
      <c r="C24" s="2" t="inlineStr">
        <is>
          <t>fraction</t>
        </is>
      </c>
      <c r="D24" s="2" t="inlineStr">
        <is>
          <t>CAPEX</t>
        </is>
      </c>
    </row>
    <row r="25" ht="12" customHeight="1">
      <c r="A25" s="2" t="inlineStr">
        <is>
          <t>Indirect costs as % of TDC</t>
        </is>
      </c>
      <c r="B25" s="2" t="n">
        <v>0.6</v>
      </c>
      <c r="C25" s="2" t="inlineStr">
        <is>
          <t>fraction</t>
        </is>
      </c>
      <c r="D25" s="2" t="inlineStr">
        <is>
          <t>CAPEX</t>
        </is>
      </c>
    </row>
    <row r="26" ht="12" customHeight="1"/>
    <row r="27" ht="12" customHeight="1">
      <c r="A27" s="2" t="inlineStr">
        <is>
          <t>OPEX factor defaults</t>
        </is>
      </c>
    </row>
    <row r="28" ht="12" customHeight="1">
      <c r="A28" s="2" t="inlineStr">
        <is>
          <t>Maintenance % of FCI</t>
        </is>
      </c>
      <c r="B28" s="2" t="n">
        <v>0.03</v>
      </c>
      <c r="C28" s="2" t="inlineStr">
        <is>
          <t>fraction</t>
        </is>
      </c>
      <c r="D28" s="2" t="inlineStr">
        <is>
          <t>OPEX</t>
        </is>
      </c>
    </row>
    <row r="29" ht="12" customHeight="1">
      <c r="A29" s="2" t="inlineStr">
        <is>
          <t>Insurance/taxes % of FCI</t>
        </is>
      </c>
      <c r="B29" s="2" t="n">
        <v>0.007</v>
      </c>
      <c r="C29" s="2" t="inlineStr">
        <is>
          <t>fraction</t>
        </is>
      </c>
      <c r="D29" s="2" t="inlineStr">
        <is>
          <t>OPEX</t>
        </is>
      </c>
    </row>
    <row r="30" ht="12" customHeight="1">
      <c r="A30" s="2" t="inlineStr">
        <is>
          <t>Plant overhead % of labor</t>
        </is>
      </c>
      <c r="B30" s="2" t="n">
        <v>0.6</v>
      </c>
      <c r="C30" s="2" t="inlineStr">
        <is>
          <t>fraction</t>
        </is>
      </c>
      <c r="D30" s="2" t="inlineStr">
        <is>
          <t>OPEX</t>
        </is>
      </c>
    </row>
    <row r="32" ht="13.5" customHeight="1">
      <c r="A32" s="3" t="inlineStr">
        <is>
          <t>DESIGN BASIS  (Aspen run: FINAL_Apple_Fermentation_process; Report 3 Table 6)</t>
        </is>
      </c>
    </row>
    <row r="33" ht="13.5" customHeight="1">
      <c r="A33" s="2" t="inlineStr">
        <is>
          <t>Ethanol product stream</t>
        </is>
      </c>
      <c r="B33" s="4" t="n">
        <v>4715.31</v>
      </c>
      <c r="C33" s="2" t="inlineStr">
        <is>
          <t>kg/h</t>
        </is>
      </c>
      <c r="D33" s="2" t="inlineStr">
        <is>
          <t>Aspen Table 6 final product</t>
        </is>
      </c>
    </row>
    <row r="34" ht="13.5" customHeight="1">
      <c r="A34" s="2" t="inlineStr">
        <is>
          <t>Ethanol mass fraction in product</t>
        </is>
      </c>
      <c r="B34" s="4" t="n">
        <v>0.972</v>
      </c>
      <c r="C34" s="2" t="inlineStr">
        <is>
          <t>fraction</t>
        </is>
      </c>
      <c r="D34" s="2" t="inlineStr">
        <is>
          <t>from 95.3 mol% EtOH / 2.9% H2O / 1.7% CO2</t>
        </is>
      </c>
    </row>
    <row r="35" ht="13.5" customHeight="1">
      <c r="A35" s="2" t="inlineStr">
        <is>
          <t>Ethanol density</t>
        </is>
      </c>
      <c r="B35" s="4" t="n">
        <v>0.789</v>
      </c>
      <c r="C35" s="2" t="inlineStr">
        <is>
          <t>kg/L</t>
        </is>
      </c>
      <c r="D35" s="2" t="inlineStr">
        <is>
          <t>NIST, 20 C</t>
        </is>
      </c>
    </row>
    <row r="36" ht="12" customHeight="1">
      <c r="A36" s="2" t="inlineStr">
        <is>
          <t>Operating hours per year</t>
        </is>
      </c>
      <c r="B36" s="2">
        <f>B20*8760</f>
        <v/>
      </c>
      <c r="C36" s="2" t="inlineStr">
        <is>
          <t>h/yr</t>
        </is>
      </c>
      <c r="D36" s="2" t="inlineStr">
        <is>
          <t>uptime x 8760</t>
        </is>
      </c>
    </row>
    <row r="37" ht="12" customHeight="1">
      <c r="A37" s="2" t="inlineStr">
        <is>
          <t>Pure ethanol produced</t>
        </is>
      </c>
      <c r="B37" s="2">
        <f>B33*B34*B36/B35/3.78541</f>
        <v/>
      </c>
      <c r="C37" s="2" t="inlineStr">
        <is>
          <t>gal/yr</t>
        </is>
      </c>
      <c r="D37" s="2" t="inlineStr">
        <is>
          <t>derived</t>
        </is>
      </c>
    </row>
    <row r="38" ht="13.5" customHeight="1">
      <c r="A38" s="2" t="inlineStr">
        <is>
          <t>Apple pomace feed (as fed to process)</t>
        </is>
      </c>
      <c r="B38" s="4" t="n">
        <v>39994</v>
      </c>
      <c r="C38" s="2" t="inlineStr">
        <is>
          <t>kg/h</t>
        </is>
      </c>
      <c r="D38" s="2" t="inlineStr">
        <is>
          <t>Aspen Table 6 dried-pomace feed</t>
        </is>
      </c>
    </row>
    <row r="39" ht="12" customHeight="1">
      <c r="A39" s="2" t="inlineStr">
        <is>
          <t>Apple pomace feed (annual)</t>
        </is>
      </c>
      <c r="B39" s="2">
        <f>B38*B36/1000</f>
        <v/>
      </c>
      <c r="C39" s="2" t="inlineStr">
        <is>
          <t>wet t/yr</t>
        </is>
      </c>
      <c r="D39" s="2" t="inlineStr">
        <is>
          <t>derived</t>
        </is>
      </c>
    </row>
    <row r="40" ht="13.5" customHeight="1">
      <c r="A40" s="2" t="inlineStr">
        <is>
          <t>As-received pomace (report narrative)</t>
        </is>
      </c>
      <c r="B40" s="5" t="n">
        <v>100000</v>
      </c>
      <c r="C40" s="2" t="inlineStr">
        <is>
          <t>kg/h</t>
        </is>
      </c>
      <c r="D40" s="2" t="inlineStr">
        <is>
          <t>NARRATIVE value; inconsistent w/ Aspen 39,994 - see recommendations</t>
        </is>
      </c>
    </row>
    <row r="41" ht="12" customHeight="1">
      <c r="A41" s="2" t="inlineStr">
        <is>
          <t>Solids throughput</t>
        </is>
      </c>
      <c r="B41" s="2">
        <f>B38*24/1000</f>
        <v/>
      </c>
      <c r="C41" s="2" t="inlineStr">
        <is>
          <t>t/day</t>
        </is>
      </c>
      <c r="D41" s="2" t="inlineStr">
        <is>
          <t>for reactor scaling</t>
        </is>
      </c>
    </row>
    <row r="42" ht="13.5" customHeight="1">
      <c r="A42" s="2" t="inlineStr">
        <is>
          <t>Wastewater estimate</t>
        </is>
      </c>
      <c r="B42" s="4" t="n">
        <v>250000</v>
      </c>
      <c r="C42" s="2" t="inlineStr">
        <is>
          <t>m3/yr</t>
        </is>
      </c>
      <c r="D42" s="2" t="inlineStr">
        <is>
          <t>engineering estimate, pending Aspen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CAPEX</t>
        </is>
      </c>
    </row>
    <row r="2" ht="12" customHeight="1">
      <c r="A2" s="2" t="inlineStr">
        <is>
          <t>Use this as the report-facing CAPEX table. Replace placeholders with team values.</t>
        </is>
      </c>
    </row>
    <row r="3" ht="12" customHeight="1">
      <c r="A3" s="2" t="inlineStr">
        <is>
          <t>Process Area</t>
        </is>
      </c>
      <c r="B3" s="2" t="inlineStr">
        <is>
          <t>Base Equip Cost ($)</t>
        </is>
      </c>
      <c r="C3" s="2" t="inlineStr">
        <is>
          <t>Base Capacity</t>
        </is>
      </c>
      <c r="D3" s="2" t="inlineStr">
        <is>
          <t>Required Capacity</t>
        </is>
      </c>
      <c r="E3" s="2" t="inlineStr">
        <is>
          <t>Exponent n</t>
        </is>
      </c>
      <c r="F3" s="2" t="inlineStr">
        <is>
          <t>Base CEPCI</t>
        </is>
      </c>
      <c r="G3" s="2" t="inlineStr">
        <is>
          <t>Current CEPCI</t>
        </is>
      </c>
      <c r="H3" s="2" t="inlineStr">
        <is>
          <t>Purchased Cost ($)</t>
        </is>
      </c>
      <c r="I3" s="2" t="inlineStr">
        <is>
          <t>Install Factor</t>
        </is>
      </c>
      <c r="J3" s="2" t="inlineStr">
        <is>
          <t>Installed Cost ($)</t>
        </is>
      </c>
    </row>
    <row r="4" ht="12" customHeight="1">
      <c r="A4" s="2" t="inlineStr">
        <is>
          <t>Feed receiving/storage</t>
        </is>
      </c>
      <c r="B4" s="2" t="n">
        <v>500000</v>
      </c>
      <c r="C4" s="2" t="n">
        <v>100000</v>
      </c>
      <c r="D4" s="2">
        <f>AP_INPUTS!B39</f>
        <v/>
      </c>
      <c r="E4" s="2" t="n">
        <v>0.6</v>
      </c>
      <c r="F4" s="2" t="n">
        <v>567</v>
      </c>
      <c r="G4" s="2" t="n">
        <v>797.9</v>
      </c>
      <c r="H4" s="2">
        <f>IFERROR(B4*(D4/C4)^E4*(G4/F4),0)</f>
        <v/>
      </c>
      <c r="I4" s="2" t="n">
        <v>2</v>
      </c>
      <c r="J4" s="2">
        <f>H4*I4</f>
        <v/>
      </c>
    </row>
    <row r="5" ht="12" customHeight="1">
      <c r="A5" s="2" t="inlineStr">
        <is>
          <t>Slurry preparation</t>
        </is>
      </c>
      <c r="B5" s="2" t="n">
        <v>350000</v>
      </c>
      <c r="C5" s="2" t="n">
        <v>100000</v>
      </c>
      <c r="D5" s="2">
        <f>AP_INPUTS!B39</f>
        <v/>
      </c>
      <c r="E5" s="2" t="n">
        <v>0.6</v>
      </c>
      <c r="F5" s="2" t="n">
        <v>567</v>
      </c>
      <c r="G5" s="2" t="n">
        <v>797.9</v>
      </c>
      <c r="H5" s="2">
        <f>IFERROR(B5*(D5/C5)^E5*(G5/F5),0)</f>
        <v/>
      </c>
      <c r="I5" s="2" t="n">
        <v>2.5</v>
      </c>
      <c r="J5" s="2">
        <f>H5*I5</f>
        <v/>
      </c>
    </row>
    <row r="6" ht="12" customHeight="1">
      <c r="A6" s="2" t="inlineStr">
        <is>
          <t>Pretreatment</t>
        </is>
      </c>
      <c r="B6" s="2" t="n">
        <v>3000000</v>
      </c>
      <c r="C6" s="2" t="n">
        <v>2000</v>
      </c>
      <c r="D6" s="2">
        <f>AP_INPUTS!B41</f>
        <v/>
      </c>
      <c r="E6" s="2" t="n">
        <v>0.6</v>
      </c>
      <c r="F6" s="2" t="n">
        <v>567</v>
      </c>
      <c r="G6" s="2" t="n">
        <v>797.9</v>
      </c>
      <c r="H6" s="2">
        <f>IFERROR(B6*(D6/C6)^E6*(G6/F6),0)</f>
        <v/>
      </c>
      <c r="I6" s="2" t="n">
        <v>2.5</v>
      </c>
      <c r="J6" s="2">
        <f>H6*I6</f>
        <v/>
      </c>
    </row>
    <row r="7" ht="12" customHeight="1">
      <c r="A7" s="2" t="inlineStr">
        <is>
          <t>Neutralization &amp; conditioning</t>
        </is>
      </c>
      <c r="B7" s="2" t="n">
        <v>600000</v>
      </c>
      <c r="C7" s="2" t="n">
        <v>1000</v>
      </c>
      <c r="D7" s="2">
        <f>AP_INPUTS!B41</f>
        <v/>
      </c>
      <c r="E7" s="2" t="n">
        <v>0.6</v>
      </c>
      <c r="F7" s="2" t="n">
        <v>567</v>
      </c>
      <c r="G7" s="2" t="n">
        <v>797.9</v>
      </c>
      <c r="H7" s="2">
        <f>IFERROR(B7*(D7/C7)^E7*(G7/F7),0)</f>
        <v/>
      </c>
      <c r="I7" s="2" t="n">
        <v>2.8</v>
      </c>
      <c r="J7" s="2">
        <f>H7*I7</f>
        <v/>
      </c>
    </row>
    <row r="8" ht="12" customHeight="1">
      <c r="A8" s="2" t="inlineStr">
        <is>
          <t>Fermentation</t>
        </is>
      </c>
      <c r="B8" s="2" t="n">
        <v>2500000</v>
      </c>
      <c r="C8" s="2" t="n">
        <v>1000</v>
      </c>
      <c r="D8" s="2">
        <f>AP_INPUTS!B41</f>
        <v/>
      </c>
      <c r="E8" s="2" t="n">
        <v>0.6</v>
      </c>
      <c r="F8" s="2" t="n">
        <v>567</v>
      </c>
      <c r="G8" s="2" t="n">
        <v>797.9</v>
      </c>
      <c r="H8" s="2">
        <f>IFERROR(B8*(D8/C8)^E8*(G8/F8),0)</f>
        <v/>
      </c>
      <c r="I8" s="2" t="n">
        <v>2.8</v>
      </c>
      <c r="J8" s="2">
        <f>H8*I8</f>
        <v/>
      </c>
    </row>
    <row r="9" ht="12" customHeight="1">
      <c r="A9" s="2" t="inlineStr">
        <is>
          <t>Solids separation</t>
        </is>
      </c>
      <c r="B9" s="2" t="n">
        <v>750000</v>
      </c>
      <c r="C9" s="2" t="n">
        <v>100000</v>
      </c>
      <c r="D9" s="2">
        <f>AP_INPUTS!B39</f>
        <v/>
      </c>
      <c r="E9" s="2" t="n">
        <v>0.6</v>
      </c>
      <c r="F9" s="2" t="n">
        <v>567</v>
      </c>
      <c r="G9" s="2" t="n">
        <v>797.9</v>
      </c>
      <c r="H9" s="2">
        <f>IFERROR(B9*(D9/C9)^E9*(G9/F9),0)</f>
        <v/>
      </c>
      <c r="I9" s="2" t="n">
        <v>2.2</v>
      </c>
      <c r="J9" s="2">
        <f>H9*I9</f>
        <v/>
      </c>
    </row>
    <row r="10" ht="12" customHeight="1">
      <c r="A10" s="2" t="inlineStr">
        <is>
          <t>Distillation</t>
        </is>
      </c>
      <c r="B10" s="2" t="n">
        <v>4000000</v>
      </c>
      <c r="C10" s="2" t="n">
        <v>10000000</v>
      </c>
      <c r="D10" s="2">
        <f>AP_INPUTS!B11</f>
        <v/>
      </c>
      <c r="E10" s="2" t="n">
        <v>0.6</v>
      </c>
      <c r="F10" s="2" t="n">
        <v>567</v>
      </c>
      <c r="G10" s="2" t="n">
        <v>797.9</v>
      </c>
      <c r="H10" s="2">
        <f>IFERROR(B10*(D10/C10)^E10*(G10/F10),0)</f>
        <v/>
      </c>
      <c r="I10" s="2" t="n">
        <v>3</v>
      </c>
      <c r="J10" s="2">
        <f>H10*I10</f>
        <v/>
      </c>
    </row>
    <row r="11" ht="12" customHeight="1">
      <c r="A11" s="2" t="inlineStr">
        <is>
          <t>Molecular sieve dehydration</t>
        </is>
      </c>
      <c r="B11" s="2" t="n">
        <v>1500000</v>
      </c>
      <c r="C11" s="2" t="n">
        <v>10000000</v>
      </c>
      <c r="D11" s="2">
        <f>AP_INPUTS!B11</f>
        <v/>
      </c>
      <c r="E11" s="2" t="n">
        <v>0.6</v>
      </c>
      <c r="F11" s="2" t="n">
        <v>567</v>
      </c>
      <c r="G11" s="2" t="n">
        <v>797.9</v>
      </c>
      <c r="H11" s="2">
        <f>IFERROR(B11*(D11/C11)^E11*(G11/F11),0)</f>
        <v/>
      </c>
      <c r="I11" s="2" t="n">
        <v>2.6</v>
      </c>
      <c r="J11" s="2">
        <f>H11*I11</f>
        <v/>
      </c>
    </row>
    <row r="12" ht="12" customHeight="1">
      <c r="A12" s="2" t="inlineStr">
        <is>
          <t>Product storage/loading</t>
        </is>
      </c>
      <c r="B12" s="2" t="n">
        <v>800000</v>
      </c>
      <c r="C12" s="2" t="n">
        <v>10000000</v>
      </c>
      <c r="D12" s="2">
        <f>AP_INPUTS!B11</f>
        <v/>
      </c>
      <c r="E12" s="2" t="n">
        <v>0.6</v>
      </c>
      <c r="F12" s="2" t="n">
        <v>567</v>
      </c>
      <c r="G12" s="2" t="n">
        <v>797.9</v>
      </c>
      <c r="H12" s="2">
        <f>IFERROR(B12*(D12/C12)^E12*(G12/F12),0)</f>
        <v/>
      </c>
      <c r="I12" s="2" t="n">
        <v>2</v>
      </c>
      <c r="J12" s="2">
        <f>H12*I12</f>
        <v/>
      </c>
    </row>
    <row r="13" ht="12" customHeight="1">
      <c r="A13" s="2" t="inlineStr">
        <is>
          <t>Wastewater treatment</t>
        </is>
      </c>
      <c r="B13" s="2" t="n">
        <v>1800000</v>
      </c>
      <c r="C13" s="2" t="n">
        <v>500000</v>
      </c>
      <c r="D13" s="2">
        <f>AP_INPUTS!B42</f>
        <v/>
      </c>
      <c r="E13" s="2" t="n">
        <v>0.6</v>
      </c>
      <c r="F13" s="2" t="n">
        <v>567</v>
      </c>
      <c r="G13" s="2" t="n">
        <v>797.9</v>
      </c>
      <c r="H13" s="2">
        <f>IFERROR(B13*(D13/C13)^E13*(G13/F13),0)</f>
        <v/>
      </c>
      <c r="I13" s="2" t="n">
        <v>2.2</v>
      </c>
      <c r="J13" s="2">
        <f>H13*I13</f>
        <v/>
      </c>
    </row>
    <row r="14" ht="12" customHeight="1"/>
    <row r="15" ht="12" customHeight="1">
      <c r="A15" s="2" t="inlineStr">
        <is>
          <t>ISBL</t>
        </is>
      </c>
      <c r="J15" s="2">
        <f>SUM(J4:J13)</f>
        <v/>
      </c>
    </row>
    <row r="16" ht="12" customHeight="1">
      <c r="A16" s="2" t="inlineStr">
        <is>
          <t>OSBL</t>
        </is>
      </c>
      <c r="J16" s="2">
        <f>J15*AP_INPUTS!B23</f>
        <v/>
      </c>
    </row>
    <row r="17" ht="12" customHeight="1">
      <c r="A17" s="2" t="inlineStr">
        <is>
          <t>Additional direct costs</t>
        </is>
      </c>
      <c r="J17" s="2">
        <f>J15*AP_INPUTS!B24</f>
        <v/>
      </c>
    </row>
    <row r="18" ht="12" customHeight="1">
      <c r="A18" s="2" t="inlineStr">
        <is>
          <t>Total direct costs (TDC)</t>
        </is>
      </c>
      <c r="J18" s="2">
        <f>SUM(J15:J17)</f>
        <v/>
      </c>
    </row>
    <row r="19" ht="12" customHeight="1">
      <c r="A19" s="2" t="inlineStr">
        <is>
          <t>Indirect costs</t>
        </is>
      </c>
      <c r="J19" s="2">
        <f>J18*AP_INPUTS!B25</f>
        <v/>
      </c>
    </row>
    <row r="20" ht="12" customHeight="1">
      <c r="A20" s="2" t="inlineStr">
        <is>
          <t>Fixed capital investment (FCI)</t>
        </is>
      </c>
      <c r="J20" s="2">
        <f>J18+J19</f>
        <v/>
      </c>
    </row>
    <row r="21" ht="12" customHeight="1">
      <c r="A21" s="2" t="inlineStr">
        <is>
          <t>Working capital</t>
        </is>
      </c>
      <c r="J21" s="2">
        <f>J20*AP_INPUTS!B17</f>
        <v/>
      </c>
    </row>
    <row r="22" ht="12" customHeight="1">
      <c r="A22" s="2" t="inlineStr">
        <is>
          <t>Land</t>
        </is>
      </c>
      <c r="J22" s="2">
        <f>AP_INPUTS!B19</f>
        <v/>
      </c>
    </row>
    <row r="23" ht="12" customHeight="1">
      <c r="A23" s="2" t="inlineStr">
        <is>
          <t>Total capital investment (TCI)</t>
        </is>
      </c>
      <c r="J23" s="2">
        <f>SUM(J20:J22)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OPEX</t>
        </is>
      </c>
    </row>
    <row r="2" ht="12" customHeight="1">
      <c r="A2" s="2" t="inlineStr">
        <is>
          <t>Use this as the report-facing annual operating cost table.</t>
        </is>
      </c>
    </row>
    <row r="3" ht="12" customHeight="1">
      <c r="A3" s="2" t="inlineStr">
        <is>
          <t>Cost Item</t>
        </is>
      </c>
      <c r="B3" s="2" t="inlineStr">
        <is>
          <t>Annual Amount or Factor</t>
        </is>
      </c>
      <c r="C3" s="2" t="inlineStr">
        <is>
          <t>Unit Cost or Multiplier</t>
        </is>
      </c>
      <c r="D3" s="2" t="inlineStr">
        <is>
          <t>Annual Cost ($/yr)</t>
        </is>
      </c>
      <c r="E3" s="2" t="inlineStr">
        <is>
          <t>Basis</t>
        </is>
      </c>
    </row>
    <row r="4" ht="13.5" customHeight="1">
      <c r="A4" s="2" t="inlineStr">
        <is>
          <t>Apple pomace feedstock</t>
        </is>
      </c>
      <c r="B4" s="2">
        <f>AP_INPUTS!B39</f>
        <v/>
      </c>
      <c r="C4" s="6" t="n">
        <v>20</v>
      </c>
      <c r="D4" s="2">
        <f>B4*C4</f>
        <v/>
      </c>
      <c r="E4" s="2" t="inlineStr">
        <is>
          <t>wet t/yr x $/wet t</t>
        </is>
      </c>
    </row>
    <row r="5" ht="13.5" customHeight="1">
      <c r="A5" s="2" t="inlineStr">
        <is>
          <t>Transportation</t>
        </is>
      </c>
      <c r="B5" s="2">
        <f>AP_INPUTS!B39</f>
        <v/>
      </c>
      <c r="C5" s="6" t="n">
        <v>25</v>
      </c>
      <c r="D5" s="2">
        <f>B5*C5</f>
        <v/>
      </c>
      <c r="E5" s="2" t="inlineStr">
        <is>
          <t>wet t/yr x $/wet t</t>
        </is>
      </c>
    </row>
    <row r="6" ht="13.5" customHeight="1">
      <c r="A6" s="2" t="inlineStr">
        <is>
          <t>Enzymes (NOT USED - dilute-acid route)</t>
        </is>
      </c>
      <c r="B6" s="6" t="n">
        <v>0</v>
      </c>
      <c r="C6" s="6" t="n">
        <v>0</v>
      </c>
      <c r="D6" s="2">
        <f>B6*C6</f>
        <v/>
      </c>
      <c r="E6" s="2" t="inlineStr">
        <is>
          <t>replaced by dilute acid</t>
        </is>
      </c>
    </row>
    <row r="7" ht="13.5" customHeight="1">
      <c r="A7" s="2" t="inlineStr">
        <is>
          <t>Acid / base chemicals</t>
        </is>
      </c>
      <c r="B7" s="6" t="n">
        <v>200000</v>
      </c>
      <c r="C7" s="6" t="n">
        <v>1</v>
      </c>
      <c r="D7" s="2">
        <f>B7*C7</f>
        <v/>
      </c>
      <c r="E7" s="2" t="inlineStr">
        <is>
          <t>kg/yr x $/kg</t>
        </is>
      </c>
    </row>
    <row r="8" ht="13.5" customHeight="1">
      <c r="A8" s="2" t="inlineStr">
        <is>
          <t>Steam / natural gas</t>
        </is>
      </c>
      <c r="B8" s="6" t="n">
        <v>300000</v>
      </c>
      <c r="C8" s="6" t="n">
        <v>8</v>
      </c>
      <c r="D8" s="2">
        <f>B8*C8</f>
        <v/>
      </c>
      <c r="E8" s="2" t="inlineStr">
        <is>
          <t>GJ/yr x $/GJ</t>
        </is>
      </c>
    </row>
    <row r="9" ht="13.5" customHeight="1">
      <c r="A9" s="2" t="inlineStr">
        <is>
          <t>Electricity</t>
        </is>
      </c>
      <c r="B9" s="6" t="n">
        <v>10000000</v>
      </c>
      <c r="C9" s="6" t="n">
        <v>0.07000000000000001</v>
      </c>
      <c r="D9" s="2">
        <f>B9*C9</f>
        <v/>
      </c>
      <c r="E9" s="2" t="inlineStr">
        <is>
          <t>kWh/yr x $/kWh</t>
        </is>
      </c>
    </row>
    <row r="10" ht="13.5" customHeight="1">
      <c r="A10" s="2" t="inlineStr">
        <is>
          <t>Cooling water</t>
        </is>
      </c>
      <c r="B10" s="6" t="n">
        <v>1000000</v>
      </c>
      <c r="C10" s="6" t="n">
        <v>0.3</v>
      </c>
      <c r="D10" s="2">
        <f>B10*C10</f>
        <v/>
      </c>
      <c r="E10" s="2" t="inlineStr">
        <is>
          <t>m3/yr x $/m3</t>
        </is>
      </c>
    </row>
    <row r="11" ht="13.5" customHeight="1">
      <c r="A11" s="2" t="inlineStr">
        <is>
          <t>Wastewater treatment</t>
        </is>
      </c>
      <c r="B11" s="2">
        <f>AP_INPUTS!B42</f>
        <v/>
      </c>
      <c r="C11" s="6" t="n">
        <v>2</v>
      </c>
      <c r="D11" s="2">
        <f>B11*C11</f>
        <v/>
      </c>
      <c r="E11" s="2" t="inlineStr">
        <is>
          <t>m3/yr x $/m3</t>
        </is>
      </c>
    </row>
    <row r="12" ht="13.5" customHeight="1">
      <c r="A12" s="2" t="inlineStr">
        <is>
          <t>Solids handling/disposal</t>
        </is>
      </c>
      <c r="B12" s="6" t="n">
        <v>150000</v>
      </c>
      <c r="C12" s="6" t="n">
        <v>10</v>
      </c>
      <c r="D12" s="2">
        <f>B12*C12</f>
        <v/>
      </c>
      <c r="E12" s="2" t="inlineStr">
        <is>
          <t>wet t/yr x $/wet t</t>
        </is>
      </c>
    </row>
    <row r="13" ht="13.5" customHeight="1">
      <c r="A13" s="2" t="inlineStr">
        <is>
          <t>Operating labor</t>
        </is>
      </c>
      <c r="B13" s="6" t="n">
        <v>60</v>
      </c>
      <c r="C13" s="6" t="n">
        <v>65000</v>
      </c>
      <c r="D13" s="2">
        <f>B13*C13</f>
        <v/>
      </c>
      <c r="E13" s="2" t="inlineStr">
        <is>
          <t>FTE x $/FTE-yr</t>
        </is>
      </c>
    </row>
    <row r="14" ht="13.5" customHeight="1">
      <c r="A14" s="2" t="inlineStr">
        <is>
          <t>Maintenance</t>
        </is>
      </c>
      <c r="B14" s="7">
        <f>AP_INPUTS!B28</f>
        <v/>
      </c>
      <c r="D14" s="2">
        <f>AP_CAPEX!J20*B14</f>
        <v/>
      </c>
      <c r="E14" s="2" t="inlineStr">
        <is>
          <t>% of FCI</t>
        </is>
      </c>
    </row>
    <row r="15" ht="13.5" customHeight="1">
      <c r="A15" s="2" t="inlineStr">
        <is>
          <t>Insurance/taxes</t>
        </is>
      </c>
      <c r="B15" s="7">
        <f>AP_INPUTS!B29</f>
        <v/>
      </c>
      <c r="D15" s="2">
        <f>AP_CAPEX!J20*B15</f>
        <v/>
      </c>
      <c r="E15" s="2" t="inlineStr">
        <is>
          <t>% of FCI</t>
        </is>
      </c>
    </row>
    <row r="16" ht="13.5" customHeight="1">
      <c r="A16" s="2" t="inlineStr">
        <is>
          <t>Plant overhead</t>
        </is>
      </c>
      <c r="B16" s="7">
        <f>AP_INPUTS!B30</f>
        <v/>
      </c>
      <c r="D16" s="2">
        <f>D13*B16</f>
        <v/>
      </c>
      <c r="E16" s="2" t="inlineStr">
        <is>
          <t>% of labor</t>
        </is>
      </c>
    </row>
    <row r="17" ht="13.5" customHeight="1">
      <c r="A17" s="2" t="inlineStr">
        <is>
          <t>Administrative/distribution/R&amp;D</t>
        </is>
      </c>
      <c r="B17" s="6" t="n">
        <v>1</v>
      </c>
      <c r="C17" s="6" t="n">
        <v>1500000</v>
      </c>
      <c r="D17" s="2">
        <f>B17*C17</f>
        <v/>
      </c>
      <c r="E17" s="2" t="inlineStr">
        <is>
          <t>annual estimate</t>
        </is>
      </c>
    </row>
    <row r="18" ht="12" customHeight="1"/>
    <row r="19" ht="12" customHeight="1">
      <c r="A19" s="2" t="inlineStr">
        <is>
          <t>Total annual OPEX</t>
        </is>
      </c>
      <c r="D19" s="2">
        <f>SUM(D4:D17)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Cash Flow</t>
        </is>
      </c>
    </row>
    <row r="2" ht="12" customHeight="1">
      <c r="A2" s="2" t="inlineStr">
        <is>
          <t>Market-price NPV uses the market ethanol price from AP_INPUTS.</t>
        </is>
      </c>
    </row>
    <row r="3" ht="12" customHeight="1">
      <c r="A3" s="2" t="inlineStr">
        <is>
          <t>Year</t>
        </is>
      </c>
      <c r="B3" s="2" t="inlineStr">
        <is>
          <t>TCI Spending</t>
        </is>
      </c>
      <c r="C3" s="2" t="inlineStr">
        <is>
          <t>Working Capital</t>
        </is>
      </c>
      <c r="D3" s="2" t="inlineStr">
        <is>
          <t>Revenue</t>
        </is>
      </c>
      <c r="E3" s="2" t="inlineStr">
        <is>
          <t>Coproduct Credits</t>
        </is>
      </c>
      <c r="F3" s="2" t="inlineStr">
        <is>
          <t>OPEX</t>
        </is>
      </c>
      <c r="G3" s="2" t="inlineStr">
        <is>
          <t>Depreciation</t>
        </is>
      </c>
      <c r="H3" s="2" t="inlineStr">
        <is>
          <t>Taxable Income</t>
        </is>
      </c>
      <c r="I3" s="2" t="inlineStr">
        <is>
          <t>Taxes</t>
        </is>
      </c>
      <c r="J3" s="2" t="inlineStr">
        <is>
          <t>Net Cash Flow</t>
        </is>
      </c>
      <c r="K3" s="2" t="inlineStr">
        <is>
          <t>Discount Factor</t>
        </is>
      </c>
      <c r="L3" s="2" t="inlineStr">
        <is>
          <t>Discounted Cash Flow</t>
        </is>
      </c>
      <c r="M3" s="2" t="inlineStr">
        <is>
          <t>Cumulative NPV</t>
        </is>
      </c>
      <c r="N3" s="2" t="inlineStr">
        <is>
          <t>PV Revenue Factor</t>
        </is>
      </c>
      <c r="O3" s="2" t="inlineStr">
        <is>
          <t>PV Non-Revenue CF</t>
        </is>
      </c>
    </row>
    <row r="4" ht="12" customHeight="1">
      <c r="A4" s="2" t="n">
        <v>0</v>
      </c>
      <c r="B4" s="2">
        <f>IF(A4=0,-AP_CAPEX!J23*AP_INPUTS!B14,IF(A4=1,-AP_CAPEX!J23*AP_INPUTS!B15,IF(A4=2,-AP_CAPEX!J23*AP_INPUTS!B16,0)))</f>
        <v/>
      </c>
      <c r="C4" s="2">
        <f>IF(A4=2,-AP_CAPEX!J21,IF(A4=AP_INPUTS!B7,AP_CAPEX!J21,0))</f>
        <v/>
      </c>
      <c r="D4" s="2">
        <f>IF(A4&gt;=AP_INPUTS!B10,AP_INPUTS!B11*AP_INPUTS!B12,0)</f>
        <v/>
      </c>
      <c r="E4" s="2">
        <f>IF(A4&gt;=AP_INPUTS!B10,AP_INPUTS!B13,0)</f>
        <v/>
      </c>
      <c r="F4" s="2">
        <f>IF(A4&gt;=AP_INPUTS!B10,AP_OPEX!D19,0)</f>
        <v/>
      </c>
      <c r="G4" s="2">
        <f>IF(AND(A4&gt;=AP_INPUTS!B10,A4&lt;AP_INPUTS!B10+AP_INPUTS!B9),AP_CAPEX!J20/AP_INPUTS!B9,0)</f>
        <v/>
      </c>
      <c r="H4" s="2">
        <f>D4+E4-F4-G4</f>
        <v/>
      </c>
      <c r="I4" s="2">
        <f>MAX(0,H4*AP_INPUTS!B8)</f>
        <v/>
      </c>
      <c r="J4" s="2">
        <f>B4+C4+D4+E4-F4-I4</f>
        <v/>
      </c>
      <c r="K4" s="2">
        <f>1/(1+AP_INPUTS!B6)^A4</f>
        <v/>
      </c>
      <c r="L4" s="2">
        <f>J4*K4</f>
        <v/>
      </c>
      <c r="M4" s="2">
        <f>SUM($L$4:L4)</f>
        <v/>
      </c>
      <c r="N4" s="2">
        <f>IF(A4&gt;=AP_INPUTS!B10,AP_INPUTS!B11*(1-AP_INPUTS!B8)*K4,0)</f>
        <v/>
      </c>
      <c r="O4" s="2">
        <f>(B4+C4+((E4-F4-G4)*(1-AP_INPUTS!B8)+G4))*K4</f>
        <v/>
      </c>
    </row>
    <row r="5" ht="12" customHeight="1">
      <c r="A5" s="2" t="n">
        <v>1</v>
      </c>
      <c r="B5" s="2">
        <f>IF(A5=0,-AP_CAPEX!J23*AP_INPUTS!B14,IF(A5=1,-AP_CAPEX!J23*AP_INPUTS!B15,IF(A5=2,-AP_CAPEX!J23*AP_INPUTS!B16,0)))</f>
        <v/>
      </c>
      <c r="C5" s="2">
        <f>IF(A5=2,-AP_CAPEX!J21,IF(A5=AP_INPUTS!B7,AP_CAPEX!J21,0))</f>
        <v/>
      </c>
      <c r="D5" s="2">
        <f>IF(A5&gt;=AP_INPUTS!B10,AP_INPUTS!B11*AP_INPUTS!B12,0)</f>
        <v/>
      </c>
      <c r="E5" s="2">
        <f>IF(A5&gt;=AP_INPUTS!B10,AP_INPUTS!B13,0)</f>
        <v/>
      </c>
      <c r="F5" s="2">
        <f>IF(A5&gt;=AP_INPUTS!B10,AP_OPEX!D19,0)</f>
        <v/>
      </c>
      <c r="G5" s="2">
        <f>IF(AND(A5&gt;=AP_INPUTS!B10,A5&lt;AP_INPUTS!B10+AP_INPUTS!B9),AP_CAPEX!J20/AP_INPUTS!B9,0)</f>
        <v/>
      </c>
      <c r="H5" s="2">
        <f>D5+E5-F5-G5</f>
        <v/>
      </c>
      <c r="I5" s="2">
        <f>MAX(0,H5*AP_INPUTS!B8)</f>
        <v/>
      </c>
      <c r="J5" s="2">
        <f>B5+C5+D5+E5-F5-I5</f>
        <v/>
      </c>
      <c r="K5" s="2">
        <f>1/(1+AP_INPUTS!B6)^A5</f>
        <v/>
      </c>
      <c r="L5" s="2">
        <f>J5*K5</f>
        <v/>
      </c>
      <c r="M5" s="2">
        <f>SUM($L$4:L5)</f>
        <v/>
      </c>
      <c r="N5" s="2">
        <f>IF(A5&gt;=AP_INPUTS!B10,AP_INPUTS!B11*(1-AP_INPUTS!B8)*K5,0)</f>
        <v/>
      </c>
      <c r="O5" s="2">
        <f>(B5+C5+((E5-F5-G5)*(1-AP_INPUTS!B8)+G5))*K5</f>
        <v/>
      </c>
    </row>
    <row r="6" ht="12" customHeight="1">
      <c r="A6" s="2" t="n">
        <v>2</v>
      </c>
      <c r="B6" s="2">
        <f>IF(A6=0,-AP_CAPEX!J23*AP_INPUTS!B14,IF(A6=1,-AP_CAPEX!J23*AP_INPUTS!B15,IF(A6=2,-AP_CAPEX!J23*AP_INPUTS!B16,0)))</f>
        <v/>
      </c>
      <c r="C6" s="2">
        <f>IF(A6=2,-AP_CAPEX!J21,IF(A6=AP_INPUTS!B7,AP_CAPEX!J21,0))</f>
        <v/>
      </c>
      <c r="D6" s="2">
        <f>IF(A6&gt;=AP_INPUTS!B10,AP_INPUTS!B11*AP_INPUTS!B12,0)</f>
        <v/>
      </c>
      <c r="E6" s="2">
        <f>IF(A6&gt;=AP_INPUTS!B10,AP_INPUTS!B13,0)</f>
        <v/>
      </c>
      <c r="F6" s="2">
        <f>IF(A6&gt;=AP_INPUTS!B10,AP_OPEX!D19,0)</f>
        <v/>
      </c>
      <c r="G6" s="2">
        <f>IF(AND(A6&gt;=AP_INPUTS!B10,A6&lt;AP_INPUTS!B10+AP_INPUTS!B9),AP_CAPEX!J20/AP_INPUTS!B9,0)</f>
        <v/>
      </c>
      <c r="H6" s="2">
        <f>D6+E6-F6-G6</f>
        <v/>
      </c>
      <c r="I6" s="2">
        <f>MAX(0,H6*AP_INPUTS!B8)</f>
        <v/>
      </c>
      <c r="J6" s="2">
        <f>B6+C6+D6+E6-F6-I6</f>
        <v/>
      </c>
      <c r="K6" s="2">
        <f>1/(1+AP_INPUTS!B6)^A6</f>
        <v/>
      </c>
      <c r="L6" s="2">
        <f>J6*K6</f>
        <v/>
      </c>
      <c r="M6" s="2">
        <f>SUM($L$4:L6)</f>
        <v/>
      </c>
      <c r="N6" s="2">
        <f>IF(A6&gt;=AP_INPUTS!B10,AP_INPUTS!B11*(1-AP_INPUTS!B8)*K6,0)</f>
        <v/>
      </c>
      <c r="O6" s="2">
        <f>(B6+C6+((E6-F6-G6)*(1-AP_INPUTS!B8)+G6))*K6</f>
        <v/>
      </c>
    </row>
    <row r="7" ht="12" customHeight="1">
      <c r="A7" s="2" t="n">
        <v>3</v>
      </c>
      <c r="B7" s="2">
        <f>IF(A7=0,-AP_CAPEX!J23*AP_INPUTS!B14,IF(A7=1,-AP_CAPEX!J23*AP_INPUTS!B15,IF(A7=2,-AP_CAPEX!J23*AP_INPUTS!B16,0)))</f>
        <v/>
      </c>
      <c r="C7" s="2">
        <f>IF(A7=2,-AP_CAPEX!J21,IF(A7=AP_INPUTS!B7,AP_CAPEX!J21,0))</f>
        <v/>
      </c>
      <c r="D7" s="2">
        <f>IF(A7&gt;=AP_INPUTS!B10,AP_INPUTS!B11*AP_INPUTS!B12,0)</f>
        <v/>
      </c>
      <c r="E7" s="2">
        <f>IF(A7&gt;=AP_INPUTS!B10,AP_INPUTS!B13,0)</f>
        <v/>
      </c>
      <c r="F7" s="2">
        <f>IF(A7&gt;=AP_INPUTS!B10,AP_OPEX!D19,0)</f>
        <v/>
      </c>
      <c r="G7" s="2">
        <f>IF(AND(A7&gt;=AP_INPUTS!B10,A7&lt;AP_INPUTS!B10+AP_INPUTS!B9),AP_CAPEX!J20/AP_INPUTS!B9,0)</f>
        <v/>
      </c>
      <c r="H7" s="2">
        <f>D7+E7-F7-G7</f>
        <v/>
      </c>
      <c r="I7" s="2">
        <f>MAX(0,H7*AP_INPUTS!B8)</f>
        <v/>
      </c>
      <c r="J7" s="2">
        <f>B7+C7+D7+E7-F7-I7</f>
        <v/>
      </c>
      <c r="K7" s="2">
        <f>1/(1+AP_INPUTS!B6)^A7</f>
        <v/>
      </c>
      <c r="L7" s="2">
        <f>J7*K7</f>
        <v/>
      </c>
      <c r="M7" s="2">
        <f>SUM($L$4:L7)</f>
        <v/>
      </c>
      <c r="N7" s="2">
        <f>IF(A7&gt;=AP_INPUTS!B10,AP_INPUTS!B11*(1-AP_INPUTS!B8)*K7,0)</f>
        <v/>
      </c>
      <c r="O7" s="2">
        <f>(B7+C7+((E7-F7-G7)*(1-AP_INPUTS!B8)+G7))*K7</f>
        <v/>
      </c>
    </row>
    <row r="8" ht="12" customHeight="1">
      <c r="A8" s="2" t="n">
        <v>4</v>
      </c>
      <c r="B8" s="2">
        <f>IF(A8=0,-AP_CAPEX!J23*AP_INPUTS!B14,IF(A8=1,-AP_CAPEX!J23*AP_INPUTS!B15,IF(A8=2,-AP_CAPEX!J23*AP_INPUTS!B16,0)))</f>
        <v/>
      </c>
      <c r="C8" s="2">
        <f>IF(A8=2,-AP_CAPEX!J21,IF(A8=AP_INPUTS!B7,AP_CAPEX!J21,0))</f>
        <v/>
      </c>
      <c r="D8" s="2">
        <f>IF(A8&gt;=AP_INPUTS!B10,AP_INPUTS!B11*AP_INPUTS!B12,0)</f>
        <v/>
      </c>
      <c r="E8" s="2">
        <f>IF(A8&gt;=AP_INPUTS!B10,AP_INPUTS!B13,0)</f>
        <v/>
      </c>
      <c r="F8" s="2">
        <f>IF(A8&gt;=AP_INPUTS!B10,AP_OPEX!D19,0)</f>
        <v/>
      </c>
      <c r="G8" s="2">
        <f>IF(AND(A8&gt;=AP_INPUTS!B10,A8&lt;AP_INPUTS!B10+AP_INPUTS!B9),AP_CAPEX!J20/AP_INPUTS!B9,0)</f>
        <v/>
      </c>
      <c r="H8" s="2">
        <f>D8+E8-F8-G8</f>
        <v/>
      </c>
      <c r="I8" s="2">
        <f>MAX(0,H8*AP_INPUTS!B8)</f>
        <v/>
      </c>
      <c r="J8" s="2">
        <f>B8+C8+D8+E8-F8-I8</f>
        <v/>
      </c>
      <c r="K8" s="2">
        <f>1/(1+AP_INPUTS!B6)^A8</f>
        <v/>
      </c>
      <c r="L8" s="2">
        <f>J8*K8</f>
        <v/>
      </c>
      <c r="M8" s="2">
        <f>SUM($L$4:L8)</f>
        <v/>
      </c>
      <c r="N8" s="2">
        <f>IF(A8&gt;=AP_INPUTS!B10,AP_INPUTS!B11*(1-AP_INPUTS!B8)*K8,0)</f>
        <v/>
      </c>
      <c r="O8" s="2">
        <f>(B8+C8+((E8-F8-G8)*(1-AP_INPUTS!B8)+G8))*K8</f>
        <v/>
      </c>
    </row>
    <row r="9" ht="12" customHeight="1">
      <c r="A9" s="2" t="n">
        <v>5</v>
      </c>
      <c r="B9" s="2">
        <f>IF(A9=0,-AP_CAPEX!J23*AP_INPUTS!B14,IF(A9=1,-AP_CAPEX!J23*AP_INPUTS!B15,IF(A9=2,-AP_CAPEX!J23*AP_INPUTS!B16,0)))</f>
        <v/>
      </c>
      <c r="C9" s="2">
        <f>IF(A9=2,-AP_CAPEX!J21,IF(A9=AP_INPUTS!B7,AP_CAPEX!J21,0))</f>
        <v/>
      </c>
      <c r="D9" s="2">
        <f>IF(A9&gt;=AP_INPUTS!B10,AP_INPUTS!B11*AP_INPUTS!B12,0)</f>
        <v/>
      </c>
      <c r="E9" s="2">
        <f>IF(A9&gt;=AP_INPUTS!B10,AP_INPUTS!B13,0)</f>
        <v/>
      </c>
      <c r="F9" s="2">
        <f>IF(A9&gt;=AP_INPUTS!B10,AP_OPEX!D19,0)</f>
        <v/>
      </c>
      <c r="G9" s="2">
        <f>IF(AND(A9&gt;=AP_INPUTS!B10,A9&lt;AP_INPUTS!B10+AP_INPUTS!B9),AP_CAPEX!J20/AP_INPUTS!B9,0)</f>
        <v/>
      </c>
      <c r="H9" s="2">
        <f>D9+E9-F9-G9</f>
        <v/>
      </c>
      <c r="I9" s="2">
        <f>MAX(0,H9*AP_INPUTS!B8)</f>
        <v/>
      </c>
      <c r="J9" s="2">
        <f>B9+C9+D9+E9-F9-I9</f>
        <v/>
      </c>
      <c r="K9" s="2">
        <f>1/(1+AP_INPUTS!B6)^A9</f>
        <v/>
      </c>
      <c r="L9" s="2">
        <f>J9*K9</f>
        <v/>
      </c>
      <c r="M9" s="2">
        <f>SUM($L$4:L9)</f>
        <v/>
      </c>
      <c r="N9" s="2">
        <f>IF(A9&gt;=AP_INPUTS!B10,AP_INPUTS!B11*(1-AP_INPUTS!B8)*K9,0)</f>
        <v/>
      </c>
      <c r="O9" s="2">
        <f>(B9+C9+((E9-F9-G9)*(1-AP_INPUTS!B8)+G9))*K9</f>
        <v/>
      </c>
    </row>
    <row r="10" ht="12" customHeight="1">
      <c r="A10" s="2" t="n">
        <v>6</v>
      </c>
      <c r="B10" s="2">
        <f>IF(A10=0,-AP_CAPEX!J23*AP_INPUTS!B14,IF(A10=1,-AP_CAPEX!J23*AP_INPUTS!B15,IF(A10=2,-AP_CAPEX!J23*AP_INPUTS!B16,0)))</f>
        <v/>
      </c>
      <c r="C10" s="2">
        <f>IF(A10=2,-AP_CAPEX!J21,IF(A10=AP_INPUTS!B7,AP_CAPEX!J21,0))</f>
        <v/>
      </c>
      <c r="D10" s="2">
        <f>IF(A10&gt;=AP_INPUTS!B10,AP_INPUTS!B11*AP_INPUTS!B12,0)</f>
        <v/>
      </c>
      <c r="E10" s="2">
        <f>IF(A10&gt;=AP_INPUTS!B10,AP_INPUTS!B13,0)</f>
        <v/>
      </c>
      <c r="F10" s="2">
        <f>IF(A10&gt;=AP_INPUTS!B10,AP_OPEX!D19,0)</f>
        <v/>
      </c>
      <c r="G10" s="2">
        <f>IF(AND(A10&gt;=AP_INPUTS!B10,A10&lt;AP_INPUTS!B10+AP_INPUTS!B9),AP_CAPEX!J20/AP_INPUTS!B9,0)</f>
        <v/>
      </c>
      <c r="H10" s="2">
        <f>D10+E10-F10-G10</f>
        <v/>
      </c>
      <c r="I10" s="2">
        <f>MAX(0,H10*AP_INPUTS!B8)</f>
        <v/>
      </c>
      <c r="J10" s="2">
        <f>B10+C10+D10+E10-F10-I10</f>
        <v/>
      </c>
      <c r="K10" s="2">
        <f>1/(1+AP_INPUTS!B6)^A10</f>
        <v/>
      </c>
      <c r="L10" s="2">
        <f>J10*K10</f>
        <v/>
      </c>
      <c r="M10" s="2">
        <f>SUM($L$4:L10)</f>
        <v/>
      </c>
      <c r="N10" s="2">
        <f>IF(A10&gt;=AP_INPUTS!B10,AP_INPUTS!B11*(1-AP_INPUTS!B8)*K10,0)</f>
        <v/>
      </c>
      <c r="O10" s="2">
        <f>(B10+C10+((E10-F10-G10)*(1-AP_INPUTS!B8)+G10))*K10</f>
        <v/>
      </c>
    </row>
    <row r="11" ht="12" customHeight="1">
      <c r="A11" s="2" t="n">
        <v>7</v>
      </c>
      <c r="B11" s="2">
        <f>IF(A11=0,-AP_CAPEX!J23*AP_INPUTS!B14,IF(A11=1,-AP_CAPEX!J23*AP_INPUTS!B15,IF(A11=2,-AP_CAPEX!J23*AP_INPUTS!B16,0)))</f>
        <v/>
      </c>
      <c r="C11" s="2">
        <f>IF(A11=2,-AP_CAPEX!J21,IF(A11=AP_INPUTS!B7,AP_CAPEX!J21,0))</f>
        <v/>
      </c>
      <c r="D11" s="2">
        <f>IF(A11&gt;=AP_INPUTS!B10,AP_INPUTS!B11*AP_INPUTS!B12,0)</f>
        <v/>
      </c>
      <c r="E11" s="2">
        <f>IF(A11&gt;=AP_INPUTS!B10,AP_INPUTS!B13,0)</f>
        <v/>
      </c>
      <c r="F11" s="2">
        <f>IF(A11&gt;=AP_INPUTS!B10,AP_OPEX!D19,0)</f>
        <v/>
      </c>
      <c r="G11" s="2">
        <f>IF(AND(A11&gt;=AP_INPUTS!B10,A11&lt;AP_INPUTS!B10+AP_INPUTS!B9),AP_CAPEX!J20/AP_INPUTS!B9,0)</f>
        <v/>
      </c>
      <c r="H11" s="2">
        <f>D11+E11-F11-G11</f>
        <v/>
      </c>
      <c r="I11" s="2">
        <f>MAX(0,H11*AP_INPUTS!B8)</f>
        <v/>
      </c>
      <c r="J11" s="2">
        <f>B11+C11+D11+E11-F11-I11</f>
        <v/>
      </c>
      <c r="K11" s="2">
        <f>1/(1+AP_INPUTS!B6)^A11</f>
        <v/>
      </c>
      <c r="L11" s="2">
        <f>J11*K11</f>
        <v/>
      </c>
      <c r="M11" s="2">
        <f>SUM($L$4:L11)</f>
        <v/>
      </c>
      <c r="N11" s="2">
        <f>IF(A11&gt;=AP_INPUTS!B10,AP_INPUTS!B11*(1-AP_INPUTS!B8)*K11,0)</f>
        <v/>
      </c>
      <c r="O11" s="2">
        <f>(B11+C11+((E11-F11-G11)*(1-AP_INPUTS!B8)+G11))*K11</f>
        <v/>
      </c>
    </row>
    <row r="12" ht="12" customHeight="1">
      <c r="A12" s="2" t="n">
        <v>8</v>
      </c>
      <c r="B12" s="2">
        <f>IF(A12=0,-AP_CAPEX!J23*AP_INPUTS!B14,IF(A12=1,-AP_CAPEX!J23*AP_INPUTS!B15,IF(A12=2,-AP_CAPEX!J23*AP_INPUTS!B16,0)))</f>
        <v/>
      </c>
      <c r="C12" s="2">
        <f>IF(A12=2,-AP_CAPEX!J21,IF(A12=AP_INPUTS!B7,AP_CAPEX!J21,0))</f>
        <v/>
      </c>
      <c r="D12" s="2">
        <f>IF(A12&gt;=AP_INPUTS!B10,AP_INPUTS!B11*AP_INPUTS!B12,0)</f>
        <v/>
      </c>
      <c r="E12" s="2">
        <f>IF(A12&gt;=AP_INPUTS!B10,AP_INPUTS!B13,0)</f>
        <v/>
      </c>
      <c r="F12" s="2">
        <f>IF(A12&gt;=AP_INPUTS!B10,AP_OPEX!D19,0)</f>
        <v/>
      </c>
      <c r="G12" s="2">
        <f>IF(AND(A12&gt;=AP_INPUTS!B10,A12&lt;AP_INPUTS!B10+AP_INPUTS!B9),AP_CAPEX!J20/AP_INPUTS!B9,0)</f>
        <v/>
      </c>
      <c r="H12" s="2">
        <f>D12+E12-F12-G12</f>
        <v/>
      </c>
      <c r="I12" s="2">
        <f>MAX(0,H12*AP_INPUTS!B8)</f>
        <v/>
      </c>
      <c r="J12" s="2">
        <f>B12+C12+D12+E12-F12-I12</f>
        <v/>
      </c>
      <c r="K12" s="2">
        <f>1/(1+AP_INPUTS!B6)^A12</f>
        <v/>
      </c>
      <c r="L12" s="2">
        <f>J12*K12</f>
        <v/>
      </c>
      <c r="M12" s="2">
        <f>SUM($L$4:L12)</f>
        <v/>
      </c>
      <c r="N12" s="2">
        <f>IF(A12&gt;=AP_INPUTS!B10,AP_INPUTS!B11*(1-AP_INPUTS!B8)*K12,0)</f>
        <v/>
      </c>
      <c r="O12" s="2">
        <f>(B12+C12+((E12-F12-G12)*(1-AP_INPUTS!B8)+G12))*K12</f>
        <v/>
      </c>
    </row>
    <row r="13" ht="12" customHeight="1">
      <c r="A13" s="2" t="n">
        <v>9</v>
      </c>
      <c r="B13" s="2">
        <f>IF(A13=0,-AP_CAPEX!J23*AP_INPUTS!B14,IF(A13=1,-AP_CAPEX!J23*AP_INPUTS!B15,IF(A13=2,-AP_CAPEX!J23*AP_INPUTS!B16,0)))</f>
        <v/>
      </c>
      <c r="C13" s="2">
        <f>IF(A13=2,-AP_CAPEX!J21,IF(A13=AP_INPUTS!B7,AP_CAPEX!J21,0))</f>
        <v/>
      </c>
      <c r="D13" s="2">
        <f>IF(A13&gt;=AP_INPUTS!B10,AP_INPUTS!B11*AP_INPUTS!B12,0)</f>
        <v/>
      </c>
      <c r="E13" s="2">
        <f>IF(A13&gt;=AP_INPUTS!B10,AP_INPUTS!B13,0)</f>
        <v/>
      </c>
      <c r="F13" s="2">
        <f>IF(A13&gt;=AP_INPUTS!B10,AP_OPEX!D19,0)</f>
        <v/>
      </c>
      <c r="G13" s="2">
        <f>IF(AND(A13&gt;=AP_INPUTS!B10,A13&lt;AP_INPUTS!B10+AP_INPUTS!B9),AP_CAPEX!J20/AP_INPUTS!B9,0)</f>
        <v/>
      </c>
      <c r="H13" s="2">
        <f>D13+E13-F13-G13</f>
        <v/>
      </c>
      <c r="I13" s="2">
        <f>MAX(0,H13*AP_INPUTS!B8)</f>
        <v/>
      </c>
      <c r="J13" s="2">
        <f>B13+C13+D13+E13-F13-I13</f>
        <v/>
      </c>
      <c r="K13" s="2">
        <f>1/(1+AP_INPUTS!B6)^A13</f>
        <v/>
      </c>
      <c r="L13" s="2">
        <f>J13*K13</f>
        <v/>
      </c>
      <c r="M13" s="2">
        <f>SUM($L$4:L13)</f>
        <v/>
      </c>
      <c r="N13" s="2">
        <f>IF(A13&gt;=AP_INPUTS!B10,AP_INPUTS!B11*(1-AP_INPUTS!B8)*K13,0)</f>
        <v/>
      </c>
      <c r="O13" s="2">
        <f>(B13+C13+((E13-F13-G13)*(1-AP_INPUTS!B8)+G13))*K13</f>
        <v/>
      </c>
    </row>
    <row r="14" ht="12" customHeight="1">
      <c r="A14" s="2" t="n">
        <v>10</v>
      </c>
      <c r="B14" s="2">
        <f>IF(A14=0,-AP_CAPEX!J23*AP_INPUTS!B14,IF(A14=1,-AP_CAPEX!J23*AP_INPUTS!B15,IF(A14=2,-AP_CAPEX!J23*AP_INPUTS!B16,0)))</f>
        <v/>
      </c>
      <c r="C14" s="2">
        <f>IF(A14=2,-AP_CAPEX!J21,IF(A14=AP_INPUTS!B7,AP_CAPEX!J21,0))</f>
        <v/>
      </c>
      <c r="D14" s="2">
        <f>IF(A14&gt;=AP_INPUTS!B10,AP_INPUTS!B11*AP_INPUTS!B12,0)</f>
        <v/>
      </c>
      <c r="E14" s="2">
        <f>IF(A14&gt;=AP_INPUTS!B10,AP_INPUTS!B13,0)</f>
        <v/>
      </c>
      <c r="F14" s="2">
        <f>IF(A14&gt;=AP_INPUTS!B10,AP_OPEX!D19,0)</f>
        <v/>
      </c>
      <c r="G14" s="2">
        <f>IF(AND(A14&gt;=AP_INPUTS!B10,A14&lt;AP_INPUTS!B10+AP_INPUTS!B9),AP_CAPEX!J20/AP_INPUTS!B9,0)</f>
        <v/>
      </c>
      <c r="H14" s="2">
        <f>D14+E14-F14-G14</f>
        <v/>
      </c>
      <c r="I14" s="2">
        <f>MAX(0,H14*AP_INPUTS!B8)</f>
        <v/>
      </c>
      <c r="J14" s="2">
        <f>B14+C14+D14+E14-F14-I14</f>
        <v/>
      </c>
      <c r="K14" s="2">
        <f>1/(1+AP_INPUTS!B6)^A14</f>
        <v/>
      </c>
      <c r="L14" s="2">
        <f>J14*K14</f>
        <v/>
      </c>
      <c r="M14" s="2">
        <f>SUM($L$4:L14)</f>
        <v/>
      </c>
      <c r="N14" s="2">
        <f>IF(A14&gt;=AP_INPUTS!B10,AP_INPUTS!B11*(1-AP_INPUTS!B8)*K14,0)</f>
        <v/>
      </c>
      <c r="O14" s="2">
        <f>(B14+C14+((E14-F14-G14)*(1-AP_INPUTS!B8)+G14))*K14</f>
        <v/>
      </c>
    </row>
    <row r="15" ht="12" customHeight="1">
      <c r="A15" s="2" t="n">
        <v>11</v>
      </c>
      <c r="B15" s="2">
        <f>IF(A15=0,-AP_CAPEX!J23*AP_INPUTS!B14,IF(A15=1,-AP_CAPEX!J23*AP_INPUTS!B15,IF(A15=2,-AP_CAPEX!J23*AP_INPUTS!B16,0)))</f>
        <v/>
      </c>
      <c r="C15" s="2">
        <f>IF(A15=2,-AP_CAPEX!J21,IF(A15=AP_INPUTS!B7,AP_CAPEX!J21,0))</f>
        <v/>
      </c>
      <c r="D15" s="2">
        <f>IF(A15&gt;=AP_INPUTS!B10,AP_INPUTS!B11*AP_INPUTS!B12,0)</f>
        <v/>
      </c>
      <c r="E15" s="2">
        <f>IF(A15&gt;=AP_INPUTS!B10,AP_INPUTS!B13,0)</f>
        <v/>
      </c>
      <c r="F15" s="2">
        <f>IF(A15&gt;=AP_INPUTS!B10,AP_OPEX!D19,0)</f>
        <v/>
      </c>
      <c r="G15" s="2">
        <f>IF(AND(A15&gt;=AP_INPUTS!B10,A15&lt;AP_INPUTS!B10+AP_INPUTS!B9),AP_CAPEX!J20/AP_INPUTS!B9,0)</f>
        <v/>
      </c>
      <c r="H15" s="2">
        <f>D15+E15-F15-G15</f>
        <v/>
      </c>
      <c r="I15" s="2">
        <f>MAX(0,H15*AP_INPUTS!B8)</f>
        <v/>
      </c>
      <c r="J15" s="2">
        <f>B15+C15+D15+E15-F15-I15</f>
        <v/>
      </c>
      <c r="K15" s="2">
        <f>1/(1+AP_INPUTS!B6)^A15</f>
        <v/>
      </c>
      <c r="L15" s="2">
        <f>J15*K15</f>
        <v/>
      </c>
      <c r="M15" s="2">
        <f>SUM($L$4:L15)</f>
        <v/>
      </c>
      <c r="N15" s="2">
        <f>IF(A15&gt;=AP_INPUTS!B10,AP_INPUTS!B11*(1-AP_INPUTS!B8)*K15,0)</f>
        <v/>
      </c>
      <c r="O15" s="2">
        <f>(B15+C15+((E15-F15-G15)*(1-AP_INPUTS!B8)+G15))*K15</f>
        <v/>
      </c>
    </row>
    <row r="16" ht="12" customHeight="1">
      <c r="A16" s="2" t="n">
        <v>12</v>
      </c>
      <c r="B16" s="2">
        <f>IF(A16=0,-AP_CAPEX!J23*AP_INPUTS!B14,IF(A16=1,-AP_CAPEX!J23*AP_INPUTS!B15,IF(A16=2,-AP_CAPEX!J23*AP_INPUTS!B16,0)))</f>
        <v/>
      </c>
      <c r="C16" s="2">
        <f>IF(A16=2,-AP_CAPEX!J21,IF(A16=AP_INPUTS!B7,AP_CAPEX!J21,0))</f>
        <v/>
      </c>
      <c r="D16" s="2">
        <f>IF(A16&gt;=AP_INPUTS!B10,AP_INPUTS!B11*AP_INPUTS!B12,0)</f>
        <v/>
      </c>
      <c r="E16" s="2">
        <f>IF(A16&gt;=AP_INPUTS!B10,AP_INPUTS!B13,0)</f>
        <v/>
      </c>
      <c r="F16" s="2">
        <f>IF(A16&gt;=AP_INPUTS!B10,AP_OPEX!D19,0)</f>
        <v/>
      </c>
      <c r="G16" s="2">
        <f>IF(AND(A16&gt;=AP_INPUTS!B10,A16&lt;AP_INPUTS!B10+AP_INPUTS!B9),AP_CAPEX!J20/AP_INPUTS!B9,0)</f>
        <v/>
      </c>
      <c r="H16" s="2">
        <f>D16+E16-F16-G16</f>
        <v/>
      </c>
      <c r="I16" s="2">
        <f>MAX(0,H16*AP_INPUTS!B8)</f>
        <v/>
      </c>
      <c r="J16" s="2">
        <f>B16+C16+D16+E16-F16-I16</f>
        <v/>
      </c>
      <c r="K16" s="2">
        <f>1/(1+AP_INPUTS!B6)^A16</f>
        <v/>
      </c>
      <c r="L16" s="2">
        <f>J16*K16</f>
        <v/>
      </c>
      <c r="M16" s="2">
        <f>SUM($L$4:L16)</f>
        <v/>
      </c>
      <c r="N16" s="2">
        <f>IF(A16&gt;=AP_INPUTS!B10,AP_INPUTS!B11*(1-AP_INPUTS!B8)*K16,0)</f>
        <v/>
      </c>
      <c r="O16" s="2">
        <f>(B16+C16+((E16-F16-G16)*(1-AP_INPUTS!B8)+G16))*K16</f>
        <v/>
      </c>
    </row>
    <row r="17" ht="12" customHeight="1">
      <c r="A17" s="2" t="n">
        <v>13</v>
      </c>
      <c r="B17" s="2">
        <f>IF(A17=0,-AP_CAPEX!J23*AP_INPUTS!B14,IF(A17=1,-AP_CAPEX!J23*AP_INPUTS!B15,IF(A17=2,-AP_CAPEX!J23*AP_INPUTS!B16,0)))</f>
        <v/>
      </c>
      <c r="C17" s="2">
        <f>IF(A17=2,-AP_CAPEX!J21,IF(A17=AP_INPUTS!B7,AP_CAPEX!J21,0))</f>
        <v/>
      </c>
      <c r="D17" s="2">
        <f>IF(A17&gt;=AP_INPUTS!B10,AP_INPUTS!B11*AP_INPUTS!B12,0)</f>
        <v/>
      </c>
      <c r="E17" s="2">
        <f>IF(A17&gt;=AP_INPUTS!B10,AP_INPUTS!B13,0)</f>
        <v/>
      </c>
      <c r="F17" s="2">
        <f>IF(A17&gt;=AP_INPUTS!B10,AP_OPEX!D19,0)</f>
        <v/>
      </c>
      <c r="G17" s="2">
        <f>IF(AND(A17&gt;=AP_INPUTS!B10,A17&lt;AP_INPUTS!B10+AP_INPUTS!B9),AP_CAPEX!J20/AP_INPUTS!B9,0)</f>
        <v/>
      </c>
      <c r="H17" s="2">
        <f>D17+E17-F17-G17</f>
        <v/>
      </c>
      <c r="I17" s="2">
        <f>MAX(0,H17*AP_INPUTS!B8)</f>
        <v/>
      </c>
      <c r="J17" s="2">
        <f>B17+C17+D17+E17-F17-I17</f>
        <v/>
      </c>
      <c r="K17" s="2">
        <f>1/(1+AP_INPUTS!B6)^A17</f>
        <v/>
      </c>
      <c r="L17" s="2">
        <f>J17*K17</f>
        <v/>
      </c>
      <c r="M17" s="2">
        <f>SUM($L$4:L17)</f>
        <v/>
      </c>
      <c r="N17" s="2">
        <f>IF(A17&gt;=AP_INPUTS!B10,AP_INPUTS!B11*(1-AP_INPUTS!B8)*K17,0)</f>
        <v/>
      </c>
      <c r="O17" s="2">
        <f>(B17+C17+((E17-F17-G17)*(1-AP_INPUTS!B8)+G17))*K17</f>
        <v/>
      </c>
    </row>
    <row r="18" ht="12" customHeight="1">
      <c r="A18" s="2" t="n">
        <v>14</v>
      </c>
      <c r="B18" s="2">
        <f>IF(A18=0,-AP_CAPEX!J23*AP_INPUTS!B14,IF(A18=1,-AP_CAPEX!J23*AP_INPUTS!B15,IF(A18=2,-AP_CAPEX!J23*AP_INPUTS!B16,0)))</f>
        <v/>
      </c>
      <c r="C18" s="2">
        <f>IF(A18=2,-AP_CAPEX!J21,IF(A18=AP_INPUTS!B7,AP_CAPEX!J21,0))</f>
        <v/>
      </c>
      <c r="D18" s="2">
        <f>IF(A18&gt;=AP_INPUTS!B10,AP_INPUTS!B11*AP_INPUTS!B12,0)</f>
        <v/>
      </c>
      <c r="E18" s="2">
        <f>IF(A18&gt;=AP_INPUTS!B10,AP_INPUTS!B13,0)</f>
        <v/>
      </c>
      <c r="F18" s="2">
        <f>IF(A18&gt;=AP_INPUTS!B10,AP_OPEX!D19,0)</f>
        <v/>
      </c>
      <c r="G18" s="2">
        <f>IF(AND(A18&gt;=AP_INPUTS!B10,A18&lt;AP_INPUTS!B10+AP_INPUTS!B9),AP_CAPEX!J20/AP_INPUTS!B9,0)</f>
        <v/>
      </c>
      <c r="H18" s="2">
        <f>D18+E18-F18-G18</f>
        <v/>
      </c>
      <c r="I18" s="2">
        <f>MAX(0,H18*AP_INPUTS!B8)</f>
        <v/>
      </c>
      <c r="J18" s="2">
        <f>B18+C18+D18+E18-F18-I18</f>
        <v/>
      </c>
      <c r="K18" s="2">
        <f>1/(1+AP_INPUTS!B6)^A18</f>
        <v/>
      </c>
      <c r="L18" s="2">
        <f>J18*K18</f>
        <v/>
      </c>
      <c r="M18" s="2">
        <f>SUM($L$4:L18)</f>
        <v/>
      </c>
      <c r="N18" s="2">
        <f>IF(A18&gt;=AP_INPUTS!B10,AP_INPUTS!B11*(1-AP_INPUTS!B8)*K18,0)</f>
        <v/>
      </c>
      <c r="O18" s="2">
        <f>(B18+C18+((E18-F18-G18)*(1-AP_INPUTS!B8)+G18))*K18</f>
        <v/>
      </c>
    </row>
    <row r="19" ht="12" customHeight="1">
      <c r="A19" s="2" t="n">
        <v>15</v>
      </c>
      <c r="B19" s="2">
        <f>IF(A19=0,-AP_CAPEX!J23*AP_INPUTS!B14,IF(A19=1,-AP_CAPEX!J23*AP_INPUTS!B15,IF(A19=2,-AP_CAPEX!J23*AP_INPUTS!B16,0)))</f>
        <v/>
      </c>
      <c r="C19" s="2">
        <f>IF(A19=2,-AP_CAPEX!J21,IF(A19=AP_INPUTS!B7,AP_CAPEX!J21,0))</f>
        <v/>
      </c>
      <c r="D19" s="2">
        <f>IF(A19&gt;=AP_INPUTS!B10,AP_INPUTS!B11*AP_INPUTS!B12,0)</f>
        <v/>
      </c>
      <c r="E19" s="2">
        <f>IF(A19&gt;=AP_INPUTS!B10,AP_INPUTS!B13,0)</f>
        <v/>
      </c>
      <c r="F19" s="2">
        <f>IF(A19&gt;=AP_INPUTS!B10,AP_OPEX!D19,0)</f>
        <v/>
      </c>
      <c r="G19" s="2">
        <f>IF(AND(A19&gt;=AP_INPUTS!B10,A19&lt;AP_INPUTS!B10+AP_INPUTS!B9),AP_CAPEX!J20/AP_INPUTS!B9,0)</f>
        <v/>
      </c>
      <c r="H19" s="2">
        <f>D19+E19-F19-G19</f>
        <v/>
      </c>
      <c r="I19" s="2">
        <f>MAX(0,H19*AP_INPUTS!B8)</f>
        <v/>
      </c>
      <c r="J19" s="2">
        <f>B19+C19+D19+E19-F19-I19</f>
        <v/>
      </c>
      <c r="K19" s="2">
        <f>1/(1+AP_INPUTS!B6)^A19</f>
        <v/>
      </c>
      <c r="L19" s="2">
        <f>J19*K19</f>
        <v/>
      </c>
      <c r="M19" s="2">
        <f>SUM($L$4:L19)</f>
        <v/>
      </c>
      <c r="N19" s="2">
        <f>IF(A19&gt;=AP_INPUTS!B10,AP_INPUTS!B11*(1-AP_INPUTS!B8)*K19,0)</f>
        <v/>
      </c>
      <c r="O19" s="2">
        <f>(B19+C19+((E19-F19-G19)*(1-AP_INPUTS!B8)+G19))*K19</f>
        <v/>
      </c>
    </row>
    <row r="20" ht="12" customHeight="1">
      <c r="A20" s="2" t="n">
        <v>16</v>
      </c>
      <c r="B20" s="2">
        <f>IF(A20=0,-AP_CAPEX!J23*AP_INPUTS!B14,IF(A20=1,-AP_CAPEX!J23*AP_INPUTS!B15,IF(A20=2,-AP_CAPEX!J23*AP_INPUTS!B16,0)))</f>
        <v/>
      </c>
      <c r="C20" s="2">
        <f>IF(A20=2,-AP_CAPEX!J21,IF(A20=AP_INPUTS!B7,AP_CAPEX!J21,0))</f>
        <v/>
      </c>
      <c r="D20" s="2">
        <f>IF(A20&gt;=AP_INPUTS!B10,AP_INPUTS!B11*AP_INPUTS!B12,0)</f>
        <v/>
      </c>
      <c r="E20" s="2">
        <f>IF(A20&gt;=AP_INPUTS!B10,AP_INPUTS!B13,0)</f>
        <v/>
      </c>
      <c r="F20" s="2">
        <f>IF(A20&gt;=AP_INPUTS!B10,AP_OPEX!D19,0)</f>
        <v/>
      </c>
      <c r="G20" s="2">
        <f>IF(AND(A20&gt;=AP_INPUTS!B10,A20&lt;AP_INPUTS!B10+AP_INPUTS!B9),AP_CAPEX!J20/AP_INPUTS!B9,0)</f>
        <v/>
      </c>
      <c r="H20" s="2">
        <f>D20+E20-F20-G20</f>
        <v/>
      </c>
      <c r="I20" s="2">
        <f>MAX(0,H20*AP_INPUTS!B8)</f>
        <v/>
      </c>
      <c r="J20" s="2">
        <f>B20+C20+D20+E20-F20-I20</f>
        <v/>
      </c>
      <c r="K20" s="2">
        <f>1/(1+AP_INPUTS!B6)^A20</f>
        <v/>
      </c>
      <c r="L20" s="2">
        <f>J20*K20</f>
        <v/>
      </c>
      <c r="M20" s="2">
        <f>SUM($L$4:L20)</f>
        <v/>
      </c>
      <c r="N20" s="2">
        <f>IF(A20&gt;=AP_INPUTS!B10,AP_INPUTS!B11*(1-AP_INPUTS!B8)*K20,0)</f>
        <v/>
      </c>
      <c r="O20" s="2">
        <f>(B20+C20+((E20-F20-G20)*(1-AP_INPUTS!B8)+G20))*K20</f>
        <v/>
      </c>
    </row>
    <row r="21" ht="12" customHeight="1">
      <c r="A21" s="2" t="n">
        <v>17</v>
      </c>
      <c r="B21" s="2">
        <f>IF(A21=0,-AP_CAPEX!J23*AP_INPUTS!B14,IF(A21=1,-AP_CAPEX!J23*AP_INPUTS!B15,IF(A21=2,-AP_CAPEX!J23*AP_INPUTS!B16,0)))</f>
        <v/>
      </c>
      <c r="C21" s="2">
        <f>IF(A21=2,-AP_CAPEX!J21,IF(A21=AP_INPUTS!B7,AP_CAPEX!J21,0))</f>
        <v/>
      </c>
      <c r="D21" s="2">
        <f>IF(A21&gt;=AP_INPUTS!B10,AP_INPUTS!B11*AP_INPUTS!B12,0)</f>
        <v/>
      </c>
      <c r="E21" s="2">
        <f>IF(A21&gt;=AP_INPUTS!B10,AP_INPUTS!B13,0)</f>
        <v/>
      </c>
      <c r="F21" s="2">
        <f>IF(A21&gt;=AP_INPUTS!B10,AP_OPEX!D19,0)</f>
        <v/>
      </c>
      <c r="G21" s="2">
        <f>IF(AND(A21&gt;=AP_INPUTS!B10,A21&lt;AP_INPUTS!B10+AP_INPUTS!B9),AP_CAPEX!J20/AP_INPUTS!B9,0)</f>
        <v/>
      </c>
      <c r="H21" s="2">
        <f>D21+E21-F21-G21</f>
        <v/>
      </c>
      <c r="I21" s="2">
        <f>MAX(0,H21*AP_INPUTS!B8)</f>
        <v/>
      </c>
      <c r="J21" s="2">
        <f>B21+C21+D21+E21-F21-I21</f>
        <v/>
      </c>
      <c r="K21" s="2">
        <f>1/(1+AP_INPUTS!B6)^A21</f>
        <v/>
      </c>
      <c r="L21" s="2">
        <f>J21*K21</f>
        <v/>
      </c>
      <c r="M21" s="2">
        <f>SUM($L$4:L21)</f>
        <v/>
      </c>
      <c r="N21" s="2">
        <f>IF(A21&gt;=AP_INPUTS!B10,AP_INPUTS!B11*(1-AP_INPUTS!B8)*K21,0)</f>
        <v/>
      </c>
      <c r="O21" s="2">
        <f>(B21+C21+((E21-F21-G21)*(1-AP_INPUTS!B8)+G21))*K21</f>
        <v/>
      </c>
    </row>
    <row r="22" ht="12" customHeight="1">
      <c r="A22" s="2" t="n">
        <v>18</v>
      </c>
      <c r="B22" s="2">
        <f>IF(A22=0,-AP_CAPEX!J23*AP_INPUTS!B14,IF(A22=1,-AP_CAPEX!J23*AP_INPUTS!B15,IF(A22=2,-AP_CAPEX!J23*AP_INPUTS!B16,0)))</f>
        <v/>
      </c>
      <c r="C22" s="2">
        <f>IF(A22=2,-AP_CAPEX!J21,IF(A22=AP_INPUTS!B7,AP_CAPEX!J21,0))</f>
        <v/>
      </c>
      <c r="D22" s="2">
        <f>IF(A22&gt;=AP_INPUTS!B10,AP_INPUTS!B11*AP_INPUTS!B12,0)</f>
        <v/>
      </c>
      <c r="E22" s="2">
        <f>IF(A22&gt;=AP_INPUTS!B10,AP_INPUTS!B13,0)</f>
        <v/>
      </c>
      <c r="F22" s="2">
        <f>IF(A22&gt;=AP_INPUTS!B10,AP_OPEX!D19,0)</f>
        <v/>
      </c>
      <c r="G22" s="2">
        <f>IF(AND(A22&gt;=AP_INPUTS!B10,A22&lt;AP_INPUTS!B10+AP_INPUTS!B9),AP_CAPEX!J20/AP_INPUTS!B9,0)</f>
        <v/>
      </c>
      <c r="H22" s="2">
        <f>D22+E22-F22-G22</f>
        <v/>
      </c>
      <c r="I22" s="2">
        <f>MAX(0,H22*AP_INPUTS!B8)</f>
        <v/>
      </c>
      <c r="J22" s="2">
        <f>B22+C22+D22+E22-F22-I22</f>
        <v/>
      </c>
      <c r="K22" s="2">
        <f>1/(1+AP_INPUTS!B6)^A22</f>
        <v/>
      </c>
      <c r="L22" s="2">
        <f>J22*K22</f>
        <v/>
      </c>
      <c r="M22" s="2">
        <f>SUM($L$4:L22)</f>
        <v/>
      </c>
      <c r="N22" s="2">
        <f>IF(A22&gt;=AP_INPUTS!B10,AP_INPUTS!B11*(1-AP_INPUTS!B8)*K22,0)</f>
        <v/>
      </c>
      <c r="O22" s="2">
        <f>(B22+C22+((E22-F22-G22)*(1-AP_INPUTS!B8)+G22))*K22</f>
        <v/>
      </c>
    </row>
    <row r="23" ht="12" customHeight="1">
      <c r="A23" s="2" t="n">
        <v>19</v>
      </c>
      <c r="B23" s="2">
        <f>IF(A23=0,-AP_CAPEX!J23*AP_INPUTS!B14,IF(A23=1,-AP_CAPEX!J23*AP_INPUTS!B15,IF(A23=2,-AP_CAPEX!J23*AP_INPUTS!B16,0)))</f>
        <v/>
      </c>
      <c r="C23" s="2">
        <f>IF(A23=2,-AP_CAPEX!J21,IF(A23=AP_INPUTS!B7,AP_CAPEX!J21,0))</f>
        <v/>
      </c>
      <c r="D23" s="2">
        <f>IF(A23&gt;=AP_INPUTS!B10,AP_INPUTS!B11*AP_INPUTS!B12,0)</f>
        <v/>
      </c>
      <c r="E23" s="2">
        <f>IF(A23&gt;=AP_INPUTS!B10,AP_INPUTS!B13,0)</f>
        <v/>
      </c>
      <c r="F23" s="2">
        <f>IF(A23&gt;=AP_INPUTS!B10,AP_OPEX!D19,0)</f>
        <v/>
      </c>
      <c r="G23" s="2">
        <f>IF(AND(A23&gt;=AP_INPUTS!B10,A23&lt;AP_INPUTS!B10+AP_INPUTS!B9),AP_CAPEX!J20/AP_INPUTS!B9,0)</f>
        <v/>
      </c>
      <c r="H23" s="2">
        <f>D23+E23-F23-G23</f>
        <v/>
      </c>
      <c r="I23" s="2">
        <f>MAX(0,H23*AP_INPUTS!B8)</f>
        <v/>
      </c>
      <c r="J23" s="2">
        <f>B23+C23+D23+E23-F23-I23</f>
        <v/>
      </c>
      <c r="K23" s="2">
        <f>1/(1+AP_INPUTS!B6)^A23</f>
        <v/>
      </c>
      <c r="L23" s="2">
        <f>J23*K23</f>
        <v/>
      </c>
      <c r="M23" s="2">
        <f>SUM($L$4:L23)</f>
        <v/>
      </c>
      <c r="N23" s="2">
        <f>IF(A23&gt;=AP_INPUTS!B10,AP_INPUTS!B11*(1-AP_INPUTS!B8)*K23,0)</f>
        <v/>
      </c>
      <c r="O23" s="2">
        <f>(B23+C23+((E23-F23-G23)*(1-AP_INPUTS!B8)+G23))*K23</f>
        <v/>
      </c>
    </row>
    <row r="24" ht="12" customHeight="1">
      <c r="A24" s="2" t="n">
        <v>20</v>
      </c>
      <c r="B24" s="2">
        <f>IF(A24=0,-AP_CAPEX!J23*AP_INPUTS!B14,IF(A24=1,-AP_CAPEX!J23*AP_INPUTS!B15,IF(A24=2,-AP_CAPEX!J23*AP_INPUTS!B16,0)))</f>
        <v/>
      </c>
      <c r="C24" s="2">
        <f>IF(A24=2,-AP_CAPEX!J21,IF(A24=AP_INPUTS!B7,AP_CAPEX!J21,0))</f>
        <v/>
      </c>
      <c r="D24" s="2">
        <f>IF(A24&gt;=AP_INPUTS!B10,AP_INPUTS!B11*AP_INPUTS!B12,0)</f>
        <v/>
      </c>
      <c r="E24" s="2">
        <f>IF(A24&gt;=AP_INPUTS!B10,AP_INPUTS!B13,0)</f>
        <v/>
      </c>
      <c r="F24" s="2">
        <f>IF(A24&gt;=AP_INPUTS!B10,AP_OPEX!D19,0)</f>
        <v/>
      </c>
      <c r="G24" s="2">
        <f>IF(AND(A24&gt;=AP_INPUTS!B10,A24&lt;AP_INPUTS!B10+AP_INPUTS!B9),AP_CAPEX!J20/AP_INPUTS!B9,0)</f>
        <v/>
      </c>
      <c r="H24" s="2">
        <f>D24+E24-F24-G24</f>
        <v/>
      </c>
      <c r="I24" s="2">
        <f>MAX(0,H24*AP_INPUTS!B8)</f>
        <v/>
      </c>
      <c r="J24" s="2">
        <f>B24+C24+D24+E24-F24-I24</f>
        <v/>
      </c>
      <c r="K24" s="2">
        <f>1/(1+AP_INPUTS!B6)^A24</f>
        <v/>
      </c>
      <c r="L24" s="2">
        <f>J24*K24</f>
        <v/>
      </c>
      <c r="M24" s="2">
        <f>SUM($L$4:L24)</f>
        <v/>
      </c>
      <c r="N24" s="2">
        <f>IF(A24&gt;=AP_INPUTS!B10,AP_INPUTS!B11*(1-AP_INPUTS!B8)*K24,0)</f>
        <v/>
      </c>
      <c r="O24" s="2">
        <f>(B24+C24+((E24-F24-G24)*(1-AP_INPUTS!B8)+G24))*K24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Report Outputs</t>
        </is>
      </c>
    </row>
    <row r="2" ht="12" customHeight="1">
      <c r="A2" s="2" t="inlineStr">
        <is>
          <t>Use these values when writing the economics discussion.</t>
        </is>
      </c>
    </row>
    <row r="3" ht="12" customHeight="1">
      <c r="A3" s="2" t="inlineStr">
        <is>
          <t>Output</t>
        </is>
      </c>
      <c r="B3" s="2" t="inlineStr">
        <is>
          <t>Value</t>
        </is>
      </c>
      <c r="C3" s="2" t="inlineStr">
        <is>
          <t>Formula Source</t>
        </is>
      </c>
    </row>
    <row r="4" ht="12" customHeight="1">
      <c r="A4" s="2" t="inlineStr">
        <is>
          <t>ISBL</t>
        </is>
      </c>
      <c r="B4" s="2">
        <f>AP_CAPEX!J15</f>
        <v/>
      </c>
      <c r="C4" s="2" t="inlineStr">
        <is>
          <t>Sum of installed process equipment</t>
        </is>
      </c>
    </row>
    <row r="5" ht="12" customHeight="1">
      <c r="A5" s="2" t="inlineStr">
        <is>
          <t>FCI</t>
        </is>
      </c>
      <c r="B5" s="2">
        <f>AP_CAPEX!J20</f>
        <v/>
      </c>
      <c r="C5" s="2" t="inlineStr">
        <is>
          <t>TDC plus indirect costs</t>
        </is>
      </c>
    </row>
    <row r="6" ht="12" customHeight="1">
      <c r="A6" s="2" t="inlineStr">
        <is>
          <t>TCI</t>
        </is>
      </c>
      <c r="B6" s="2">
        <f>AP_CAPEX!J23</f>
        <v/>
      </c>
      <c r="C6" s="2" t="inlineStr">
        <is>
          <t>FCI plus working capital and land</t>
        </is>
      </c>
    </row>
    <row r="7" ht="12" customHeight="1">
      <c r="A7" s="2" t="inlineStr">
        <is>
          <t>Annual OPEX</t>
        </is>
      </c>
      <c r="B7" s="2">
        <f>AP_OPEX!D19</f>
        <v/>
      </c>
      <c r="C7" s="2" t="inlineStr">
        <is>
          <t>Annual operating cost table</t>
        </is>
      </c>
    </row>
    <row r="8" ht="12" customHeight="1">
      <c r="A8" s="2" t="inlineStr">
        <is>
          <t>CRF</t>
        </is>
      </c>
      <c r="B8" s="2">
        <f>AP_INPUTS!B6*(1+AP_INPUTS!B6)^AP_INPUTS!B7/((1+AP_INPUTS!B6)^AP_INPUTS!B7-1)</f>
        <v/>
      </c>
      <c r="C8" s="2" t="inlineStr">
        <is>
          <t>Lecture CRF formula</t>
        </is>
      </c>
    </row>
    <row r="9" ht="12" customHeight="1">
      <c r="A9" s="2" t="inlineStr">
        <is>
          <t>Annualized CAPEX</t>
        </is>
      </c>
      <c r="B9" s="2">
        <f>B6*B8</f>
        <v/>
      </c>
      <c r="C9" s="2" t="inlineStr">
        <is>
          <t>TCI x CRF</t>
        </is>
      </c>
    </row>
    <row r="10" ht="12" customHeight="1">
      <c r="A10" s="2" t="inlineStr">
        <is>
          <t>CRF-based MSP ($/gal)</t>
        </is>
      </c>
      <c r="B10" s="2">
        <f>(B9+B7-AP_INPUTS!B13)/AP_INPUTS!B11</f>
        <v/>
      </c>
      <c r="C10" s="2" t="inlineStr">
        <is>
          <t>Quick MSP check</t>
        </is>
      </c>
    </row>
    <row r="11" ht="12" customHeight="1">
      <c r="A11" s="2" t="inlineStr">
        <is>
          <t>NPV at market price</t>
        </is>
      </c>
      <c r="B11" s="2">
        <f>AP_CASHFLOW!M24</f>
        <v/>
      </c>
      <c r="C11" s="2" t="inlineStr">
        <is>
          <t>20-year discounted cash flow</t>
        </is>
      </c>
    </row>
    <row r="12" ht="12" customHeight="1">
      <c r="A12" s="2" t="inlineStr">
        <is>
          <t>NPV-based MSP ($/gal)</t>
        </is>
      </c>
      <c r="B12" s="2">
        <f>MAX(0,-SUM(AP_CASHFLOW!O4:O24)/SUM(AP_CASHFLOW!N4:N24))</f>
        <v/>
      </c>
      <c r="C12" s="2" t="inlineStr">
        <is>
          <t>Price needed for NPV = 0</t>
        </is>
      </c>
    </row>
    <row r="13" ht="12" customHeight="1">
      <c r="A13" s="2" t="inlineStr">
        <is>
          <t>Market price comparison</t>
        </is>
      </c>
      <c r="B13" s="2">
        <f>AP_INPUTS!B12-B12</f>
        <v/>
      </c>
      <c r="C13" s="2" t="inlineStr">
        <is>
          <t>Positive means market price is above NPV-based MSP</t>
        </is>
      </c>
    </row>
    <row r="14" ht="12" customHeight="1">
      <c r="A14" s="2" t="inlineStr">
        <is>
          <t>Recommendation flag</t>
        </is>
      </c>
      <c r="B14" s="2">
        <f>IF(B12&lt;=AP_INPUTS!B12,"Economically promising at market price","Needs lower costs, better yield, or credits")</f>
        <v/>
      </c>
      <c r="C14" s="2" t="inlineStr">
        <is>
          <t>Simple decision indicator</t>
        </is>
      </c>
    </row>
    <row r="15" ht="12" customHeight="1">
      <c r="A15" s="2" t="inlineStr">
        <is>
          <t>IRR at market price</t>
        </is>
      </c>
      <c r="B15" s="2">
        <f>IFERROR(IRR(AP_CASHFLOW!J4:J24),"undefined - no positive cash flow")</f>
        <v/>
      </c>
      <c r="C15" s="2" t="inlineStr">
        <is>
          <t>Internal rate of return on net cash flow at $2.02/gal</t>
        </is>
      </c>
    </row>
    <row r="16" ht="12" customHeight="1">
      <c r="A16" s="2" t="inlineStr">
        <is>
          <t>Annual ethanol (gal/yr)</t>
        </is>
      </c>
      <c r="B16" s="2">
        <f>AP_INPUTS!B11</f>
        <v/>
      </c>
      <c r="C16" s="2" t="inlineStr">
        <is>
          <t>Design-basis production</t>
        </is>
      </c>
    </row>
    <row r="17" ht="12" customHeight="1">
      <c r="A17" s="2" t="inlineStr">
        <is>
          <t>Annual revenue at market ($)</t>
        </is>
      </c>
      <c r="B17" s="2">
        <f>AP_INPUTS!B11*AP_INPUTS!B12</f>
        <v/>
      </c>
      <c r="C17" s="2" t="inlineStr">
        <is>
          <t>Production x market price</t>
        </is>
      </c>
    </row>
    <row r="18" ht="12" customHeight="1">
      <c r="A18" s="2" t="inlineStr">
        <is>
          <t>Annual OPEX per gallon ($/gal)</t>
        </is>
      </c>
      <c r="B18" s="2">
        <f>AP_OPEX!D19/AP_INPUTS!B11</f>
        <v/>
      </c>
      <c r="C18" s="2" t="inlineStr">
        <is>
          <t>Total operating cost intensity</t>
        </is>
      </c>
    </row>
    <row r="19" ht="12" customHeight="1">
      <c r="A19" s="2" t="inlineStr">
        <is>
          <t>Variable OPEX per gallon ($/gal)</t>
        </is>
      </c>
      <c r="B19" s="2">
        <f>(AP_OPEX!D4+AP_OPEX!D5+AP_OPEX!D7+AP_OPEX!D8+AP_OPEX!D9+AP_OPEX!D10+AP_OPEX!D11+AP_OPEX!D12)/AP_INPUTS!B11</f>
        <v/>
      </c>
      <c r="C19" s="2" t="inlineStr">
        <is>
          <t>Cash variable cost per gallon</t>
        </is>
      </c>
    </row>
    <row r="20" ht="12" customHeight="1">
      <c r="A20" s="2" t="inlineStr">
        <is>
          <t>Cold check: market price vs MSP</t>
        </is>
      </c>
      <c r="B20" s="2">
        <f>IF(AP_INPUTS!B12&gt;=B12,"Viable","NOT viable at market price")</f>
        <v/>
      </c>
      <c r="C20" s="2" t="inlineStr">
        <is>
          <t>Decision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Apple Pomace TEA Sensitivity Analysis</t>
        </is>
      </c>
    </row>
    <row r="2" ht="12" customHeight="1">
      <c r="A2" s="2" t="inlineStr">
        <is>
          <t>Tornado-plot table. Each variable swung to a low/high case; MSP recomputed (CRF method). Deltas are vs base MSP (AP_REPORT_OUTPUTS!B10).</t>
        </is>
      </c>
      <c r="J2" s="3" t="inlineStr">
        <is>
          <t>Tornado data (MSP $/gal change vs base; sorted by impact)</t>
        </is>
      </c>
    </row>
    <row r="3" ht="12" customHeight="1">
      <c r="A3" s="2" t="inlineStr">
        <is>
          <t>Variable</t>
        </is>
      </c>
      <c r="B3" s="2" t="inlineStr">
        <is>
          <t>Low Case</t>
        </is>
      </c>
      <c r="C3" s="2" t="inlineStr">
        <is>
          <t>Base Case</t>
        </is>
      </c>
      <c r="D3" s="2" t="inlineStr">
        <is>
          <t>High Case</t>
        </is>
      </c>
      <c r="E3" s="2" t="inlineStr">
        <is>
          <t>MSP at Low</t>
        </is>
      </c>
      <c r="F3" s="2" t="inlineStr">
        <is>
          <t>MSP at High</t>
        </is>
      </c>
      <c r="G3" s="2" t="inlineStr">
        <is>
          <t>Low Delta</t>
        </is>
      </c>
      <c r="H3" s="2" t="inlineStr">
        <is>
          <t>High Delta</t>
        </is>
      </c>
      <c r="J3" s="3" t="inlineStr">
        <is>
          <t>Variable</t>
        </is>
      </c>
      <c r="K3" s="3" t="inlineStr">
        <is>
          <t>Low-case</t>
        </is>
      </c>
      <c r="L3" s="3" t="inlineStr">
        <is>
          <t>High-case</t>
        </is>
      </c>
    </row>
    <row r="4" ht="12" customHeight="1">
      <c r="A4" s="2" t="inlineStr">
        <is>
          <t>Total capital investment</t>
        </is>
      </c>
      <c r="B4" s="2">
        <f>0.7*AP_CAPEX!J23</f>
        <v/>
      </c>
      <c r="C4" s="2">
        <f>AP_CAPEX!J23</f>
        <v/>
      </c>
      <c r="D4" s="2">
        <f>1.5*AP_CAPEX!J23</f>
        <v/>
      </c>
      <c r="E4" s="2">
        <f>(B4*(AP_INPUTS!B6*(1+AP_INPUTS!B6)^AP_INPUTS!B7/((1+AP_INPUTS!B6)^AP_INPUTS!B7-1))+AP_OPEX!D19-AP_INPUTS!B13)/AP_INPUTS!B11</f>
        <v/>
      </c>
      <c r="F4" s="2">
        <f>(D4*(AP_INPUTS!B6*(1+AP_INPUTS!B6)^AP_INPUTS!B7/((1+AP_INPUTS!B6)^AP_INPUTS!B7-1))+AP_OPEX!D19-AP_INPUTS!B13)/AP_INPUTS!B11</f>
        <v/>
      </c>
      <c r="G4" s="2">
        <f>E4-AP_REPORT_OUTPUTS!$B$10</f>
        <v/>
      </c>
      <c r="H4" s="2">
        <f>F4-AP_REPORT_OUTPUTS!$B$10</f>
        <v/>
      </c>
      <c r="J4" s="2" t="inlineStr">
        <is>
          <t>Steam/natural gas</t>
        </is>
      </c>
      <c r="K4" s="2">
        <f>G12</f>
        <v/>
      </c>
      <c r="L4" s="2">
        <f>H12</f>
        <v/>
      </c>
    </row>
    <row r="5" ht="12" customHeight="1">
      <c r="A5" s="2" t="inlineStr">
        <is>
          <t>Annual OPEX</t>
        </is>
      </c>
      <c r="B5" s="2">
        <f>0.8*AP_OPEX!D19</f>
        <v/>
      </c>
      <c r="C5" s="2">
        <f>AP_OPEX!D19</f>
        <v/>
      </c>
      <c r="D5" s="2">
        <f>1.2*AP_OPEX!D19</f>
        <v/>
      </c>
      <c r="E5" s="2">
        <f>(AP_CAPEX!J23*AP_REPORT_OUTPUTS!B8+B5-AP_INPUTS!B13)/AP_INPUTS!B11</f>
        <v/>
      </c>
      <c r="F5" s="2">
        <f>(AP_CAPEX!J23*AP_REPORT_OUTPUTS!B8+D5-AP_INPUTS!B13)/AP_INPUTS!B11</f>
        <v/>
      </c>
      <c r="G5" s="2">
        <f>E5-AP_REPORT_OUTPUTS!$B$10</f>
        <v/>
      </c>
      <c r="H5" s="2">
        <f>F5-AP_REPORT_OUTPUTS!$B$10</f>
        <v/>
      </c>
      <c r="J5" s="2" t="inlineStr">
        <is>
          <t>Plant life</t>
        </is>
      </c>
      <c r="K5" s="2">
        <f>G8</f>
        <v/>
      </c>
      <c r="L5" s="2">
        <f>H8</f>
        <v/>
      </c>
    </row>
    <row r="6" ht="12" customHeight="1">
      <c r="A6" s="2" t="inlineStr">
        <is>
          <t>Annual ethanol production</t>
        </is>
      </c>
      <c r="B6" s="2">
        <f>0.85*AP_INPUTS!B11</f>
        <v/>
      </c>
      <c r="C6" s="2">
        <f>AP_INPUTS!B11</f>
        <v/>
      </c>
      <c r="D6" s="2">
        <f>1.1*AP_INPUTS!B11</f>
        <v/>
      </c>
      <c r="E6" s="2">
        <f>(AP_REPORT_OUTPUTS!B9+AP_OPEX!D19-AP_INPUTS!B13)/B6</f>
        <v/>
      </c>
      <c r="F6" s="2">
        <f>(AP_REPORT_OUTPUTS!B9+AP_OPEX!D19-AP_INPUTS!B13)/D6</f>
        <v/>
      </c>
      <c r="G6" s="2">
        <f>E6-AP_REPORT_OUTPUTS!$B$10</f>
        <v/>
      </c>
      <c r="H6" s="2">
        <f>F6-AP_REPORT_OUTPUTS!$B$10</f>
        <v/>
      </c>
      <c r="J6" s="2" t="inlineStr">
        <is>
          <t>Discount rate</t>
        </is>
      </c>
      <c r="K6" s="2">
        <f>G7</f>
        <v/>
      </c>
      <c r="L6" s="2">
        <f>H7</f>
        <v/>
      </c>
    </row>
    <row r="7" ht="12" customHeight="1">
      <c r="A7" s="2" t="inlineStr">
        <is>
          <t>Discount rate</t>
        </is>
      </c>
      <c r="B7" s="2" t="n">
        <v>0.08</v>
      </c>
      <c r="C7" s="2">
        <f>AP_INPUTS!B6</f>
        <v/>
      </c>
      <c r="D7" s="2" t="n">
        <v>0.15</v>
      </c>
      <c r="E7" s="2">
        <f>(AP_CAPEX!J23*(B7*(1+B7)^AP_INPUTS!B7/((1+B7)^AP_INPUTS!B7-1))+AP_OPEX!D19-AP_INPUTS!B13)/AP_INPUTS!B11</f>
        <v/>
      </c>
      <c r="F7" s="2">
        <f>(AP_CAPEX!J23*(D7*(1+D7)^AP_INPUTS!B7/((1+D7)^AP_INPUTS!B7-1))+AP_OPEX!D19-AP_INPUTS!B13)/AP_INPUTS!B11</f>
        <v/>
      </c>
      <c r="G7" s="2">
        <f>E7-AP_REPORT_OUTPUTS!$B$10</f>
        <v/>
      </c>
      <c r="H7" s="2">
        <f>F7-AP_REPORT_OUTPUTS!$B$10</f>
        <v/>
      </c>
      <c r="J7" s="2" t="inlineStr">
        <is>
          <t>Apple pomace feedstock</t>
        </is>
      </c>
      <c r="K7" s="2">
        <f>G10</f>
        <v/>
      </c>
      <c r="L7" s="2">
        <f>H10</f>
        <v/>
      </c>
    </row>
    <row r="8" ht="12" customHeight="1">
      <c r="A8" s="2" t="inlineStr">
        <is>
          <t>Plant life</t>
        </is>
      </c>
      <c r="B8" s="2" t="n">
        <v>15</v>
      </c>
      <c r="C8" s="2">
        <f>AP_INPUTS!B7</f>
        <v/>
      </c>
      <c r="D8" s="2" t="n">
        <v>30</v>
      </c>
      <c r="E8" s="2">
        <f>(AP_CAPEX!J23*(AP_INPUTS!B6*(1+AP_INPUTS!B6)^B8/((1+AP_INPUTS!B6)^B8-1))+AP_OPEX!D19-AP_INPUTS!B13)/AP_INPUTS!B11</f>
        <v/>
      </c>
      <c r="F8" s="2">
        <f>(AP_CAPEX!J23*(AP_INPUTS!B6*(1+AP_INPUTS!B6)^D8/((1+AP_INPUTS!B6)^D8-1))+AP_OPEX!D19-AP_INPUTS!B13)/AP_INPUTS!B11</f>
        <v/>
      </c>
      <c r="G8" s="2">
        <f>E8-AP_REPORT_OUTPUTS!$B$10</f>
        <v/>
      </c>
      <c r="H8" s="2">
        <f>F8-AP_REPORT_OUTPUTS!$B$10</f>
        <v/>
      </c>
      <c r="J8" s="2" t="inlineStr">
        <is>
          <t>Feedstock transport</t>
        </is>
      </c>
      <c r="K8" s="2">
        <f>G11</f>
        <v/>
      </c>
      <c r="L8" s="2">
        <f>H11</f>
        <v/>
      </c>
    </row>
    <row r="9" ht="12" customHeight="1">
      <c r="A9" s="2" t="inlineStr">
        <is>
          <t>Coproduct/policy credit</t>
        </is>
      </c>
      <c r="B9" s="2" t="n">
        <v>0</v>
      </c>
      <c r="C9" s="2">
        <f>AP_INPUTS!B13</f>
        <v/>
      </c>
      <c r="D9" s="2">
        <f>AP_INPUTS!B13+1000000</f>
        <v/>
      </c>
      <c r="E9" s="2">
        <f>(AP_REPORT_OUTPUTS!B9+AP_OPEX!D19-B9)/AP_INPUTS!B11</f>
        <v/>
      </c>
      <c r="F9" s="2">
        <f>(AP_REPORT_OUTPUTS!B9+AP_OPEX!D19-D9)/AP_INPUTS!B11</f>
        <v/>
      </c>
      <c r="G9" s="2">
        <f>E9-AP_REPORT_OUTPUTS!$B$10</f>
        <v/>
      </c>
      <c r="H9" s="2">
        <f>F9-AP_REPORT_OUTPUTS!$B$10</f>
        <v/>
      </c>
      <c r="J9" s="2" t="inlineStr">
        <is>
          <t>Annual OPEX</t>
        </is>
      </c>
      <c r="K9" s="2">
        <f>G5</f>
        <v/>
      </c>
      <c r="L9" s="2">
        <f>H5</f>
        <v/>
      </c>
    </row>
    <row r="10" ht="12" customHeight="1">
      <c r="A10" s="2" t="inlineStr">
        <is>
          <t>Apple pomace feedstock cost</t>
        </is>
      </c>
      <c r="B10" s="2">
        <f>0.5*AP_OPEX!D4</f>
        <v/>
      </c>
      <c r="C10" s="2">
        <f>AP_OPEX!D4</f>
        <v/>
      </c>
      <c r="D10" s="2">
        <f>2*AP_OPEX!D4</f>
        <v/>
      </c>
      <c r="E10" s="2">
        <f>(AP_REPORT_OUTPUTS!B9+(AP_OPEX!D19-AP_OPEX!D4+B10)-AP_INPUTS!B13)/AP_INPUTS!B11</f>
        <v/>
      </c>
      <c r="F10" s="2">
        <f>(AP_REPORT_OUTPUTS!B9+(AP_OPEX!D19-AP_OPEX!D4+D10)-AP_INPUTS!B13)/AP_INPUTS!B11</f>
        <v/>
      </c>
      <c r="G10" s="2">
        <f>E10-AP_REPORT_OUTPUTS!$B$10</f>
        <v/>
      </c>
      <c r="H10" s="2">
        <f>F10-AP_REPORT_OUTPUTS!$B$10</f>
        <v/>
      </c>
      <c r="J10" s="2" t="inlineStr">
        <is>
          <t>Annual ethanol production</t>
        </is>
      </c>
      <c r="K10" s="2">
        <f>G6</f>
        <v/>
      </c>
      <c r="L10" s="2">
        <f>H6</f>
        <v/>
      </c>
    </row>
    <row r="11" ht="12" customHeight="1">
      <c r="A11" s="2" t="inlineStr">
        <is>
          <t>Feedstock transport cost</t>
        </is>
      </c>
      <c r="B11" s="2">
        <f>0.5*AP_OPEX!D5</f>
        <v/>
      </c>
      <c r="C11" s="2">
        <f>AP_OPEX!D5</f>
        <v/>
      </c>
      <c r="D11" s="2">
        <f>2*AP_OPEX!D5</f>
        <v/>
      </c>
      <c r="E11" s="2">
        <f>(AP_REPORT_OUTPUTS!B9+(AP_OPEX!D19-AP_OPEX!D5+B11)-AP_INPUTS!B13)/AP_INPUTS!B11</f>
        <v/>
      </c>
      <c r="F11" s="2">
        <f>(AP_REPORT_OUTPUTS!B9+(AP_OPEX!D19-AP_OPEX!D5+D11)-AP_INPUTS!B13)/AP_INPUTS!B11</f>
        <v/>
      </c>
      <c r="G11" s="2">
        <f>E11-AP_REPORT_OUTPUTS!$B$10</f>
        <v/>
      </c>
      <c r="H11" s="2">
        <f>F11-AP_REPORT_OUTPUTS!$B$10</f>
        <v/>
      </c>
      <c r="J11" s="2" t="inlineStr">
        <is>
          <t>Total capital investment</t>
        </is>
      </c>
      <c r="K11" s="2">
        <f>G4</f>
        <v/>
      </c>
      <c r="L11" s="2">
        <f>H4</f>
        <v/>
      </c>
    </row>
    <row r="12" ht="12" customHeight="1">
      <c r="A12" s="2" t="inlineStr">
        <is>
          <t>Steam/natural gas cost</t>
        </is>
      </c>
      <c r="B12" s="2">
        <f>0.7*AP_OPEX!D8</f>
        <v/>
      </c>
      <c r="C12" s="2">
        <f>AP_OPEX!D8</f>
        <v/>
      </c>
      <c r="D12" s="2">
        <f>1.5*AP_OPEX!D8</f>
        <v/>
      </c>
      <c r="E12" s="2">
        <f>(AP_REPORT_OUTPUTS!B9+(AP_OPEX!D19-AP_OPEX!D8+B12)-AP_INPUTS!B13)/AP_INPUTS!B11</f>
        <v/>
      </c>
      <c r="F12" s="2">
        <f>(AP_REPORT_OUTPUTS!B9+(AP_OPEX!D19-AP_OPEX!D8+D12)-AP_INPUTS!B13)/AP_INPUTS!B11</f>
        <v/>
      </c>
      <c r="G12" s="2">
        <f>E12-AP_REPORT_OUTPUTS!$B$10</f>
        <v/>
      </c>
      <c r="H12" s="2">
        <f>F12-AP_REPORT_OUTPUTS!$B$10</f>
        <v/>
      </c>
    </row>
    <row r="13" ht="12" customHeight="1">
      <c r="A13" s="2" t="inlineStr">
        <is>
          <t>Electricity cost</t>
        </is>
      </c>
      <c r="B13" s="2">
        <f>0.7*AP_OPEX!D9</f>
        <v/>
      </c>
      <c r="C13" s="2">
        <f>AP_OPEX!D9</f>
        <v/>
      </c>
      <c r="D13" s="2">
        <f>1.5*AP_OPEX!D9</f>
        <v/>
      </c>
      <c r="E13" s="2">
        <f>(AP_REPORT_OUTPUTS!B9+(AP_OPEX!D19-AP_OPEX!D9+B13)-AP_INPUTS!B13)/AP_INPUTS!B11</f>
        <v/>
      </c>
      <c r="F13" s="2">
        <f>(AP_REPORT_OUTPUTS!B9+(AP_OPEX!D19-AP_OPEX!D9+D13)-AP_INPUTS!B13)/AP_INPUTS!B11</f>
        <v/>
      </c>
      <c r="G13" s="2">
        <f>E13-AP_REPORT_OUTPUTS!$B$10</f>
        <v/>
      </c>
      <c r="H13" s="2">
        <f>F13-AP_REPORT_OUTPUTS!$B$10</f>
        <v/>
      </c>
    </row>
    <row r="14" ht="12" customHeight="1">
      <c r="A14" s="2" t="inlineStr">
        <is>
          <t>Wastewater treatment cost</t>
        </is>
      </c>
      <c r="B14" s="2">
        <f>0.7*AP_OPEX!D11</f>
        <v/>
      </c>
      <c r="C14" s="2">
        <f>AP_OPEX!D11</f>
        <v/>
      </c>
      <c r="D14" s="2">
        <f>1.5*AP_OPEX!D11</f>
        <v/>
      </c>
      <c r="E14" s="2">
        <f>(AP_REPORT_OUTPUTS!B9+(AP_OPEX!D19-AP_OPEX!D11+B14)-AP_INPUTS!B13)/AP_INPUTS!B11</f>
        <v/>
      </c>
      <c r="F14" s="2">
        <f>(AP_REPORT_OUTPUTS!B9+(AP_OPEX!D19-AP_OPEX!D11+D14)-AP_INPUTS!B13)/AP_INPUTS!B11</f>
        <v/>
      </c>
      <c r="G14" s="2">
        <f>E14-AP_REPORT_OUTPUTS!$B$10</f>
        <v/>
      </c>
      <c r="H14" s="2">
        <f>F14-AP_REPORT_OUTPUTS!$B$10</f>
        <v/>
      </c>
    </row>
    <row r="15" ht="12.65" customHeight="1"/>
    <row r="16" ht="12.65" customHeight="1"/>
    <row r="17" ht="12.65" customHeight="1"/>
    <row r="18" ht="12.65" customHeight="1"/>
    <row r="19" ht="12.65" customHeight="1"/>
    <row r="20" ht="12.65" customHeight="1"/>
    <row r="21" ht="12.65" customHeight="1"/>
    <row r="22" ht="12.65" customHeight="1"/>
    <row r="23" ht="12.65" customHeight="1"/>
    <row r="24" ht="12.65" customHeight="1"/>
    <row r="25" ht="12.65" customHeight="1"/>
    <row r="26" ht="12.65" customHeight="1"/>
    <row r="27" ht="12.65" customHeight="1"/>
    <row r="28" ht="12.65" customHeight="1"/>
    <row r="29" ht="12.65" customHeight="1"/>
    <row r="30" ht="12.65" customHeight="1"/>
    <row r="31" ht="12.65" customHeight="1"/>
    <row r="32" ht="12.65" customHeight="1"/>
    <row r="33" ht="12.65" customHeight="1"/>
    <row r="34" ht="12.65" customHeight="1"/>
    <row r="35" ht="12.6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 ht="12" customHeight="1">
      <c r="A1" s="2" t="inlineStr">
        <is>
          <t>Lecture Formula Map</t>
        </is>
      </c>
    </row>
    <row r="2" ht="12" customHeight="1">
      <c r="A2" s="2" t="inlineStr">
        <is>
          <t>Formula</t>
        </is>
      </c>
      <c r="B2" s="2" t="inlineStr">
        <is>
          <t>Plain-language meaning</t>
        </is>
      </c>
      <c r="C2" s="2" t="inlineStr">
        <is>
          <t>Where it is used</t>
        </is>
      </c>
    </row>
    <row r="3" ht="12" customHeight="1">
      <c r="A3" s="2" t="inlineStr">
        <is>
          <t>Ca = Cb*(Aa/Ab)^n</t>
        </is>
      </c>
      <c r="B3" s="2" t="inlineStr">
        <is>
          <t>Scale an equipment cost from one size to another.</t>
        </is>
      </c>
      <c r="C3" s="2" t="inlineStr">
        <is>
          <t>AP_CAPEX purchased cost</t>
        </is>
      </c>
    </row>
    <row r="4" ht="12" customHeight="1">
      <c r="A4" s="2" t="inlineStr">
        <is>
          <t>C2 = C1*(I2/I1)</t>
        </is>
      </c>
      <c r="B4" s="2" t="inlineStr">
        <is>
          <t>Update old equipment cost to current cost using CEPCI.</t>
        </is>
      </c>
      <c r="C4" s="2" t="inlineStr">
        <is>
          <t>AP_CAPEX purchased cost</t>
        </is>
      </c>
    </row>
    <row r="5" ht="12" customHeight="1">
      <c r="A5" s="2" t="inlineStr">
        <is>
          <t>Installed cost = equipment cost x installation factor</t>
        </is>
      </c>
      <c r="B5" s="2" t="inlineStr">
        <is>
          <t>Turn purchased equipment cost into installed equipment cost.</t>
        </is>
      </c>
      <c r="C5" s="2" t="inlineStr">
        <is>
          <t>AP_CAPEX installed cost</t>
        </is>
      </c>
    </row>
    <row r="6" ht="12" customHeight="1">
      <c r="A6" s="2" t="inlineStr">
        <is>
          <t>ISBL = sum installed equipment</t>
        </is>
      </c>
      <c r="B6" s="2" t="inlineStr">
        <is>
          <t>Inside-battery-limits cost is the sum of installed process equipment.</t>
        </is>
      </c>
      <c r="C6" s="2" t="inlineStr">
        <is>
          <t>AP_CAPEX ISBL</t>
        </is>
      </c>
    </row>
    <row r="7" ht="12" customHeight="1">
      <c r="A7" s="2" t="inlineStr">
        <is>
          <t>OSBL = 25% of ISBL</t>
        </is>
      </c>
      <c r="B7" s="2" t="inlineStr">
        <is>
          <t>Outside utilities and support systems are estimated as a fraction of ISBL.</t>
        </is>
      </c>
      <c r="C7" s="2" t="inlineStr">
        <is>
          <t>AP_CAPEX OSBL</t>
        </is>
      </c>
    </row>
    <row r="8" ht="12" customHeight="1">
      <c r="A8" s="2" t="inlineStr">
        <is>
          <t>Additional direct = 17.5% of ISBL</t>
        </is>
      </c>
      <c r="B8" s="2" t="inlineStr">
        <is>
          <t>Site/building/service costs are estimated as a fraction of ISBL.</t>
        </is>
      </c>
      <c r="C8" s="2" t="inlineStr">
        <is>
          <t>AP_CAPEX additional direct</t>
        </is>
      </c>
    </row>
    <row r="9" ht="12" customHeight="1">
      <c r="A9" s="2" t="inlineStr">
        <is>
          <t>Indirect = 60% of TDC</t>
        </is>
      </c>
      <c r="B9" s="2" t="inlineStr">
        <is>
          <t>Fees, taxes, construction overhead, and contractor expenses are factored from direct cost.</t>
        </is>
      </c>
      <c r="C9" s="2" t="inlineStr">
        <is>
          <t>AP_CAPEX indirect costs</t>
        </is>
      </c>
    </row>
    <row r="10" ht="12" customHeight="1">
      <c r="A10" s="2" t="inlineStr">
        <is>
          <t>Cs,u = a*CEPCI + b*Cs,f</t>
        </is>
      </c>
      <c r="B10" s="2" t="inlineStr">
        <is>
          <t>Estimate utility price from cost index and fuel price.</t>
        </is>
      </c>
      <c r="C10" s="2" t="inlineStr">
        <is>
          <t>AP_OPEX formula map</t>
        </is>
      </c>
    </row>
    <row r="11" ht="12" customHeight="1">
      <c r="A11" s="2" t="inlineStr">
        <is>
          <t>CRF = r(1+r)^n / ((1+r)^n - 1)</t>
        </is>
      </c>
      <c r="B11" s="2" t="inlineStr">
        <is>
          <t>Convert capital cost into equivalent annual cost.</t>
        </is>
      </c>
      <c r="C11" s="2" t="inlineStr">
        <is>
          <t>AP_REPORT_OUTPUTS CRF</t>
        </is>
      </c>
    </row>
    <row r="12" ht="12" customHeight="1">
      <c r="A12" s="2" t="inlineStr">
        <is>
          <t>Annualized CAPEX = TCI*CRF</t>
        </is>
      </c>
      <c r="B12" s="2" t="inlineStr">
        <is>
          <t>Spread capital cost over project life.</t>
        </is>
      </c>
      <c r="C12" s="2" t="inlineStr">
        <is>
          <t>AP_REPORT_OUTPUTS annualized CAPEX</t>
        </is>
      </c>
    </row>
    <row r="13" ht="12" customHeight="1">
      <c r="A13" s="2" t="inlineStr">
        <is>
          <t>MSP = (annualized CAPEX + OPEX - credits)/annual production</t>
        </is>
      </c>
      <c r="B13" s="2" t="inlineStr">
        <is>
          <t>Quick break-even selling price.</t>
        </is>
      </c>
      <c r="C13" s="2" t="inlineStr">
        <is>
          <t>AP_REPORT_OUTPUTS CRF-based MSP</t>
        </is>
      </c>
    </row>
    <row r="14" ht="12" customHeight="1">
      <c r="A14" s="2" t="inlineStr">
        <is>
          <t>NPV = sum(CF/(1+r)^year)</t>
        </is>
      </c>
      <c r="B14" s="2" t="inlineStr">
        <is>
          <t>Discount yearly cash flows back to today.</t>
        </is>
      </c>
      <c r="C14" s="2" t="inlineStr">
        <is>
          <t>AP_CASHFLOW and AP_REPORT_OUTPUTS</t>
        </is>
      </c>
    </row>
    <row r="15" ht="12" customHeight="1">
      <c r="A15" s="2" t="inlineStr">
        <is>
          <t>NPV-based MSP</t>
        </is>
      </c>
      <c r="B15" s="2" t="inlineStr">
        <is>
          <t>Selling price that makes NPV equal zero.</t>
        </is>
      </c>
      <c r="C15" s="2" t="inlineStr">
        <is>
          <t>AP_REPORT_OUTPUTS NPV-based MSP</t>
        </is>
      </c>
    </row>
    <row r="16" ht="12" customHeight="1">
      <c r="A16" s="2" t="inlineStr">
        <is>
          <t>Sensitivity analysis</t>
        </is>
      </c>
      <c r="B16" s="2" t="inlineStr">
        <is>
          <t>Change one input at a time and recalculate MSP.</t>
        </is>
      </c>
      <c r="C16" s="2" t="inlineStr">
        <is>
          <t>AP_SENSITIVITY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  <col width="46" customWidth="1" min="4" max="4"/>
  </cols>
  <sheetData>
    <row r="1" ht="15.75" customHeight="1">
      <c r="A1" s="8" t="inlineStr">
        <is>
          <t>1900s Coal-&gt;City Gas  vs.  Modern Apple-Pomace-&gt;Ethanol Retrofit</t>
        </is>
      </c>
    </row>
    <row r="2" ht="15" customHeight="1">
      <c r="A2" t="inlineStr">
        <is>
          <t>Profitability comparison (order-of-magnitude). Coal baseline = Report 2 Lake Station model.</t>
        </is>
      </c>
    </row>
    <row r="4" ht="15" customHeight="1">
      <c r="A4" s="9" t="inlineStr">
        <is>
          <t>Metric</t>
        </is>
      </c>
      <c r="B4" s="9" t="inlineStr">
        <is>
          <t>1900s Coal -&gt; City Gas</t>
        </is>
      </c>
      <c r="C4" s="9" t="inlineStr">
        <is>
          <t>Modern Pomace -&gt; Ethanol</t>
        </is>
      </c>
      <c r="D4" s="9" t="inlineStr">
        <is>
          <t>Comment</t>
        </is>
      </c>
    </row>
    <row r="5" ht="15" customHeight="1">
      <c r="A5" s="3" t="inlineStr">
        <is>
          <t>Primary feedstock</t>
        </is>
      </c>
      <c r="B5" t="inlineStr">
        <is>
          <t>Sub-bituminous coal</t>
        </is>
      </c>
      <c r="C5" t="inlineStr">
        <is>
          <t>Apple pomace (wet by-product)</t>
        </is>
      </c>
      <c r="D5" t="inlineStr">
        <is>
          <t>Renewable vs fossil</t>
        </is>
      </c>
    </row>
    <row r="6" ht="15" customHeight="1">
      <c r="A6" s="3" t="inlineStr">
        <is>
          <t>Feed rate</t>
        </is>
      </c>
      <c r="B6" t="inlineStr">
        <is>
          <t>7,100 kg/h (170 t/day)</t>
        </is>
      </c>
      <c r="C6" t="inlineStr">
        <is>
          <t>39,994 kg/h (960 t/day)</t>
        </is>
      </c>
      <c r="D6" t="inlineStr">
        <is>
          <t>Pomace is mostly water</t>
        </is>
      </c>
    </row>
    <row r="7" ht="15" customHeight="1">
      <c r="A7" s="3" t="inlineStr">
        <is>
          <t>Main product</t>
        </is>
      </c>
      <c r="B7" t="inlineStr">
        <is>
          <t>170,000 Nm3/day city gas</t>
        </is>
      </c>
      <c r="C7">
        <f>TEXT(AP_INPUTS!B11/1000000,"0.0")&amp;" MM gal/yr ethanol"</f>
        <v/>
      </c>
      <c r="D7" t="inlineStr">
        <is>
          <t>Fuel vs lighting gas</t>
        </is>
      </c>
    </row>
    <row r="8" ht="15" customHeight="1">
      <c r="A8" s="3" t="inlineStr">
        <is>
          <t>Product energy output (GJ/h)</t>
        </is>
      </c>
      <c r="B8" t="n">
        <v>85</v>
      </c>
      <c r="C8">
        <f>AP_INPUTS!B33*AP_INPUTS!B34*21.1/1000*(1/AP_INPUTS!B35)</f>
        <v/>
      </c>
      <c r="D8" t="inlineStr">
        <is>
          <t>Ethanol LHV 21.1 MJ/L; ethanol plant exports more energy</t>
        </is>
      </c>
    </row>
    <row r="9" ht="15" customHeight="1">
      <c r="A9" s="3" t="inlineStr">
        <is>
          <t>Capital basis</t>
        </is>
      </c>
      <c r="B9" t="inlineStr">
        <is>
          <t>Existing 1900s plant (sunk)</t>
        </is>
      </c>
      <c r="C9">
        <f>ROUND(AP_CAPEX!J23/1000000,0)&amp;" $MM retrofit TCI"</f>
        <v/>
      </c>
      <c r="D9" t="inlineStr">
        <is>
          <t>New process equipment required</t>
        </is>
      </c>
    </row>
    <row r="10" ht="15" customHeight="1">
      <c r="A10" s="3" t="inlineStr">
        <is>
          <t>Annual operating cost</t>
        </is>
      </c>
      <c r="B10" t="inlineStr">
        <is>
          <t>Coal + labor (regulated)</t>
        </is>
      </c>
      <c r="C10">
        <f>ROUND(AP_OPEX!D19/1000000,1)&amp;" $MM/yr"</f>
        <v/>
      </c>
      <c r="D10" t="inlineStr">
        <is>
          <t>Feedstock logistics + drying dominate</t>
        </is>
      </c>
    </row>
    <row r="11" ht="15" customHeight="1">
      <c r="A11" s="3" t="inlineStr">
        <is>
          <t>Unit production cost</t>
        </is>
      </c>
      <c r="B11" t="inlineStr">
        <is>
          <t>Set by utility rate base</t>
        </is>
      </c>
      <c r="C11">
        <f>TEXT(AP_REPORT_OUTPUTS!B12,"$0.00")&amp;"/gal (MSP)"</f>
        <v/>
      </c>
      <c r="D11" t="inlineStr">
        <is>
          <t>Modern plant is a high-cost producer</t>
        </is>
      </c>
    </row>
    <row r="12" ht="15" customHeight="1">
      <c r="A12" s="3" t="inlineStr">
        <is>
          <t>Market / selling price</t>
        </is>
      </c>
      <c r="B12" t="inlineStr">
        <is>
          <t>Regulated tariff (assured)</t>
        </is>
      </c>
      <c r="C12">
        <f>TEXT(AP_INPUTS!B12,"$0.00")&amp;"/gal (commodity)"</f>
        <v/>
      </c>
      <c r="D12" t="inlineStr">
        <is>
          <t>Price-taker vs price-setter</t>
        </is>
      </c>
    </row>
    <row r="13" ht="15" customHeight="1">
      <c r="A13" s="3" t="inlineStr">
        <is>
          <t>Competition</t>
        </is>
      </c>
      <c r="B13" t="inlineStr">
        <is>
          <t>Local monopoly, no substitute</t>
        </is>
      </c>
      <c r="C13" t="inlineStr">
        <is>
          <t>Corn ethanol ~$1.5-2.2, cellulosic ~$2.15/gal</t>
        </is>
      </c>
      <c r="D13" t="inlineStr">
        <is>
          <t>Global commodity market</t>
        </is>
      </c>
    </row>
    <row r="14" ht="15" customHeight="1">
      <c r="A14" s="3" t="inlineStr">
        <is>
          <t>Margin / viability</t>
        </is>
      </c>
      <c r="B14" t="inlineStr">
        <is>
          <t>Profitable (cost-of-service return)</t>
        </is>
      </c>
      <c r="C14">
        <f>IF(AP_INPUTS!B12&gt;=AP_REPORT_OUTPUTS!B12,"Marginal","Unprofitable: MSP &gt; market price")</f>
        <v/>
      </c>
      <c r="D14" t="inlineStr">
        <is>
          <t>Structural difference in business model</t>
        </is>
      </c>
    </row>
    <row r="16" ht="15" customHeight="1">
      <c r="A16" s="10" t="inlineStr">
        <is>
          <t>KEY TAKEAWAY: The 1900s coal-&gt;city-gas works was a REGULATED MUNICIPAL UTILITY producing an essential, non-substitutable, locally distributed product under cost-of-service pricing, so a return was effectively assured. The modern retrofit produces a globally traded COMMODITY fuel as a small, high-cost producer; its minimum selling price (~$4.3-4.9/gal) exceeds the market price ($2.02/gal), so it cannot earn a positive margin at design scale. The retrofit is cleaner and exports more energy, but is LESS profitable because of (1) market structure (price-taker vs regulated) and (2) the cost of hauling and drying a wet, low-density by-product. Viability would require larger scale, near-zero feedstock+transport cost, co-products, or a low-carbon-fuel policy credit.</t>
        </is>
      </c>
    </row>
    <row r="17" ht="15" customHeight="1"/>
    <row r="18" ht="15" customHeight="1"/>
    <row r="19" ht="15" customHeight="1"/>
    <row r="20" ht="15" customHeight="1"/>
    <row r="21" ht="15" customHeight="1"/>
  </sheetData>
  <mergeCells count="1">
    <mergeCell ref="A16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2026-09-08T15:15:46Z</dcterms:created>
  <dcterms:modified xmlns:dcterms="http://purl.org/dc/terms/" xmlns:xsi="http://www.w3.org/2001/XMLSchema-instance" xsi:type="dcterms:W3CDTF">2026-09-08T15:15:47Z</dcterms:modified>
</cp:coreProperties>
</file>