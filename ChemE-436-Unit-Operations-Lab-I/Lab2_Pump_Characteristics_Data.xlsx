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aacda521fd78511/Desktop/"/>
    </mc:Choice>
  </mc:AlternateContent>
  <xr:revisionPtr revIDLastSave="0" documentId="8_{E682EC7D-4A37-4C10-9D2F-86468AA5B34A}" xr6:coauthVersionLast="47" xr6:coauthVersionMax="47" xr10:uidLastSave="{00000000-0000-0000-0000-000000000000}"/>
  <bookViews>
    <workbookView xWindow="-120" yWindow="-120" windowWidth="29040" windowHeight="15720" tabRatio="778" firstSheet="2" activeTab="2" xr2:uid="{D38E5A1E-9900-4FC2-BAFF-A00228A07F68}"/>
  </bookViews>
  <sheets>
    <sheet name="(Invalid) CP Data" sheetId="3" r:id="rId1"/>
    <sheet name="CP Calibration" sheetId="1" r:id="rId2"/>
    <sheet name="CP Data New" sheetId="5" r:id="rId3"/>
    <sheet name="PDP Calibration" sheetId="2" r:id="rId4"/>
    <sheet name="PDP Data" sheetId="4" r:id="rId5"/>
    <sheet name="Error" sheetId="8" r:id="rId6"/>
    <sheet name="PDP Troubleshooting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7" i="4" l="1"/>
  <c r="AB77" i="4"/>
  <c r="AA78" i="4"/>
  <c r="AB78" i="4"/>
  <c r="AA79" i="4"/>
  <c r="AB79" i="4"/>
  <c r="AA80" i="4"/>
  <c r="AB80" i="4"/>
  <c r="AA81" i="4"/>
  <c r="AB81" i="4"/>
  <c r="AA82" i="4"/>
  <c r="AB82" i="4"/>
  <c r="AA83" i="4"/>
  <c r="AB83" i="4"/>
  <c r="AA84" i="4"/>
  <c r="AB84" i="4"/>
  <c r="AA85" i="4"/>
  <c r="AB85" i="4"/>
  <c r="AA86" i="4"/>
  <c r="AB86" i="4"/>
  <c r="Z86" i="4"/>
  <c r="Z85" i="4"/>
  <c r="Z84" i="4"/>
  <c r="Z83" i="4"/>
  <c r="Z82" i="4"/>
  <c r="Z81" i="4"/>
  <c r="Z80" i="4"/>
  <c r="Z79" i="4"/>
  <c r="Z78" i="4"/>
  <c r="Z77" i="4"/>
  <c r="AA72" i="4"/>
  <c r="AB72" i="4"/>
  <c r="AA73" i="4"/>
  <c r="AB73" i="4"/>
  <c r="AA74" i="4"/>
  <c r="AB74" i="4"/>
  <c r="AA75" i="4"/>
  <c r="AB75" i="4"/>
  <c r="AA76" i="4"/>
  <c r="AB76" i="4"/>
  <c r="Z76" i="4"/>
  <c r="Z75" i="4"/>
  <c r="Z74" i="4"/>
  <c r="Z73" i="4"/>
  <c r="Z72" i="4"/>
  <c r="AI69" i="4"/>
  <c r="AG69" i="4"/>
  <c r="AC69" i="4"/>
  <c r="AD2" i="5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E20" i="5"/>
  <c r="P33" i="5"/>
  <c r="AM15" i="5"/>
  <c r="AK19" i="5"/>
  <c r="AK16" i="5"/>
  <c r="AN16" i="5" s="1"/>
  <c r="AM12" i="5"/>
  <c r="AK10" i="5"/>
  <c r="AN10" i="5" s="1"/>
  <c r="AL5" i="5"/>
  <c r="AM6" i="5"/>
  <c r="AL8" i="5"/>
  <c r="AM9" i="5"/>
  <c r="AK9" i="5"/>
  <c r="AK6" i="5"/>
  <c r="AG5" i="5"/>
  <c r="AK5" i="5" s="1"/>
  <c r="AN5" i="5" s="1"/>
  <c r="AJ9" i="5"/>
  <c r="AJ14" i="5"/>
  <c r="AJ15" i="5"/>
  <c r="AJ18" i="5"/>
  <c r="AH15" i="5"/>
  <c r="AL15" i="5" s="1"/>
  <c r="AI15" i="5"/>
  <c r="AH16" i="5"/>
  <c r="AL16" i="5" s="1"/>
  <c r="AI16" i="5"/>
  <c r="AM16" i="5" s="1"/>
  <c r="AH17" i="5"/>
  <c r="AL17" i="5" s="1"/>
  <c r="AI17" i="5"/>
  <c r="AM17" i="5" s="1"/>
  <c r="AH18" i="5"/>
  <c r="AL18" i="5" s="1"/>
  <c r="AI18" i="5"/>
  <c r="AM18" i="5" s="1"/>
  <c r="AH19" i="5"/>
  <c r="AL19" i="5" s="1"/>
  <c r="AI19" i="5"/>
  <c r="AM19" i="5" s="1"/>
  <c r="AG19" i="5"/>
  <c r="AJ19" i="5" s="1"/>
  <c r="AG18" i="5"/>
  <c r="AK18" i="5" s="1"/>
  <c r="AN18" i="5" s="1"/>
  <c r="AG17" i="5"/>
  <c r="AJ17" i="5" s="1"/>
  <c r="AG16" i="5"/>
  <c r="AJ16" i="5" s="1"/>
  <c r="AG15" i="5"/>
  <c r="AK15" i="5" s="1"/>
  <c r="AN15" i="5" s="1"/>
  <c r="AI12" i="5"/>
  <c r="AH5" i="5"/>
  <c r="AI5" i="5"/>
  <c r="AM5" i="5" s="1"/>
  <c r="AH6" i="5"/>
  <c r="AJ6" i="5" s="1"/>
  <c r="AI6" i="5"/>
  <c r="AH7" i="5"/>
  <c r="AL7" i="5" s="1"/>
  <c r="AI7" i="5"/>
  <c r="AM7" i="5" s="1"/>
  <c r="AH8" i="5"/>
  <c r="AI8" i="5"/>
  <c r="AM8" i="5" s="1"/>
  <c r="AH9" i="5"/>
  <c r="AL9" i="5" s="1"/>
  <c r="AI9" i="5"/>
  <c r="AH10" i="5"/>
  <c r="AL10" i="5" s="1"/>
  <c r="AI10" i="5"/>
  <c r="AM10" i="5" s="1"/>
  <c r="AH11" i="5"/>
  <c r="AL11" i="5" s="1"/>
  <c r="AI11" i="5"/>
  <c r="AM11" i="5" s="1"/>
  <c r="AH12" i="5"/>
  <c r="AL12" i="5" s="1"/>
  <c r="AH13" i="5"/>
  <c r="AL13" i="5" s="1"/>
  <c r="AI13" i="5"/>
  <c r="AM13" i="5" s="1"/>
  <c r="AH14" i="5"/>
  <c r="AL14" i="5" s="1"/>
  <c r="AI14" i="5"/>
  <c r="AM14" i="5" s="1"/>
  <c r="AG14" i="5"/>
  <c r="AK14" i="5" s="1"/>
  <c r="AN14" i="5" s="1"/>
  <c r="AG13" i="5"/>
  <c r="AK13" i="5" s="1"/>
  <c r="AN13" i="5" s="1"/>
  <c r="AG10" i="5"/>
  <c r="AJ10" i="5" s="1"/>
  <c r="AG11" i="5"/>
  <c r="AJ11" i="5" s="1"/>
  <c r="AG12" i="5"/>
  <c r="AK12" i="5" s="1"/>
  <c r="AG9" i="5"/>
  <c r="AG8" i="5"/>
  <c r="AK8" i="5" s="1"/>
  <c r="AG7" i="5"/>
  <c r="AK7" i="5" s="1"/>
  <c r="AN7" i="5" s="1"/>
  <c r="AG6" i="5"/>
  <c r="P14" i="2"/>
  <c r="A65" i="5"/>
  <c r="AV2" i="5"/>
  <c r="AD15" i="5"/>
  <c r="AE15" i="5"/>
  <c r="AD16" i="5"/>
  <c r="AE16" i="5"/>
  <c r="AF16" i="5" s="1"/>
  <c r="AD17" i="5"/>
  <c r="AF17" i="5" s="1"/>
  <c r="AE17" i="5"/>
  <c r="AD18" i="5"/>
  <c r="AF18" i="5" s="1"/>
  <c r="AE18" i="5"/>
  <c r="AD19" i="5"/>
  <c r="AE19" i="5"/>
  <c r="AC19" i="5"/>
  <c r="AC18" i="5"/>
  <c r="AC17" i="5"/>
  <c r="AC16" i="5"/>
  <c r="AC15" i="5"/>
  <c r="AC10" i="5"/>
  <c r="AD10" i="5"/>
  <c r="AE10" i="5"/>
  <c r="AD11" i="5"/>
  <c r="AE11" i="5"/>
  <c r="AD12" i="5"/>
  <c r="AE12" i="5"/>
  <c r="AD13" i="5"/>
  <c r="AE13" i="5"/>
  <c r="AD14" i="5"/>
  <c r="AE14" i="5"/>
  <c r="AF14" i="5" s="1"/>
  <c r="AC14" i="5"/>
  <c r="AC13" i="5"/>
  <c r="AC12" i="5"/>
  <c r="AC11" i="5"/>
  <c r="AC5" i="5"/>
  <c r="AF6" i="5"/>
  <c r="AF7" i="5"/>
  <c r="AF8" i="5"/>
  <c r="AF9" i="5"/>
  <c r="AF10" i="5"/>
  <c r="AF11" i="5"/>
  <c r="AF12" i="5"/>
  <c r="AF13" i="5"/>
  <c r="AF15" i="5"/>
  <c r="AF5" i="5"/>
  <c r="AD5" i="5"/>
  <c r="AE5" i="5"/>
  <c r="AD6" i="5"/>
  <c r="AE6" i="5"/>
  <c r="AD7" i="5"/>
  <c r="AE7" i="5"/>
  <c r="AD8" i="5"/>
  <c r="AE8" i="5"/>
  <c r="AD9" i="5"/>
  <c r="AE9" i="5"/>
  <c r="AC9" i="5"/>
  <c r="AC8" i="5"/>
  <c r="AC7" i="5"/>
  <c r="AC6" i="5"/>
  <c r="AH1" i="5"/>
  <c r="O13" i="1"/>
  <c r="N12" i="2"/>
  <c r="O2" i="1"/>
  <c r="P2" i="1"/>
  <c r="O3" i="1"/>
  <c r="P3" i="1"/>
  <c r="O4" i="1"/>
  <c r="P4" i="1"/>
  <c r="O5" i="1"/>
  <c r="P5" i="1"/>
  <c r="O6" i="1"/>
  <c r="P6" i="1"/>
  <c r="O7" i="1"/>
  <c r="P7" i="1"/>
  <c r="O8" i="1"/>
  <c r="P8" i="1"/>
  <c r="O9" i="1"/>
  <c r="P9" i="1"/>
  <c r="N3" i="1"/>
  <c r="N4" i="1"/>
  <c r="N5" i="1"/>
  <c r="N6" i="1"/>
  <c r="N7" i="1"/>
  <c r="N8" i="1"/>
  <c r="N9" i="1"/>
  <c r="N2" i="1"/>
  <c r="N3" i="2"/>
  <c r="O3" i="2"/>
  <c r="N4" i="2"/>
  <c r="O4" i="2"/>
  <c r="N5" i="2"/>
  <c r="O5" i="2"/>
  <c r="N6" i="2"/>
  <c r="O6" i="2"/>
  <c r="N7" i="2"/>
  <c r="O7" i="2"/>
  <c r="M4" i="2"/>
  <c r="M5" i="2"/>
  <c r="M6" i="2"/>
  <c r="M7" i="2"/>
  <c r="M3" i="2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75" i="4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65" i="5"/>
  <c r="AA6" i="5"/>
  <c r="B83" i="5"/>
  <c r="I3" i="2"/>
  <c r="B7" i="2"/>
  <c r="B2" i="1"/>
  <c r="B3" i="1"/>
  <c r="B33" i="5"/>
  <c r="G2" i="8"/>
  <c r="B30" i="7"/>
  <c r="B29" i="7"/>
  <c r="P40" i="4"/>
  <c r="I39" i="4"/>
  <c r="I45" i="4"/>
  <c r="I46" i="4"/>
  <c r="I33" i="5"/>
  <c r="I2" i="2"/>
  <c r="I40" i="4"/>
  <c r="B24" i="7"/>
  <c r="B23" i="7"/>
  <c r="B18" i="7"/>
  <c r="B21" i="7" s="1"/>
  <c r="B27" i="7" s="1"/>
  <c r="B33" i="7" s="1"/>
  <c r="B17" i="7"/>
  <c r="B20" i="7" s="1"/>
  <c r="B26" i="7" s="1"/>
  <c r="B32" i="7" s="1"/>
  <c r="B39" i="4"/>
  <c r="B52" i="4" s="1"/>
  <c r="N15" i="2"/>
  <c r="AF44" i="4"/>
  <c r="AF45" i="4"/>
  <c r="AF46" i="4"/>
  <c r="AF47" i="4"/>
  <c r="AF48" i="4"/>
  <c r="AF49" i="4"/>
  <c r="AF50" i="4"/>
  <c r="AF51" i="4"/>
  <c r="AF53" i="4"/>
  <c r="AF55" i="4"/>
  <c r="AF57" i="4"/>
  <c r="AF59" i="4"/>
  <c r="AF61" i="4"/>
  <c r="AD44" i="4"/>
  <c r="AD47" i="4"/>
  <c r="AD48" i="4"/>
  <c r="AD49" i="4"/>
  <c r="AD50" i="4"/>
  <c r="AD51" i="4"/>
  <c r="AD53" i="4"/>
  <c r="AD55" i="4"/>
  <c r="AD57" i="4"/>
  <c r="AD59" i="4"/>
  <c r="AD61" i="4"/>
  <c r="AB44" i="4"/>
  <c r="AB45" i="4"/>
  <c r="AB46" i="4"/>
  <c r="AB47" i="4"/>
  <c r="AB48" i="4"/>
  <c r="AB49" i="4"/>
  <c r="AB50" i="4"/>
  <c r="AB51" i="4"/>
  <c r="AB53" i="4"/>
  <c r="AB55" i="4"/>
  <c r="AB57" i="4"/>
  <c r="AB59" i="4"/>
  <c r="AB61" i="4"/>
  <c r="L45" i="4"/>
  <c r="I39" i="5"/>
  <c r="I55" i="4"/>
  <c r="J36" i="5"/>
  <c r="K36" i="5"/>
  <c r="I36" i="5"/>
  <c r="Q45" i="4"/>
  <c r="R45" i="4"/>
  <c r="Q46" i="4"/>
  <c r="R46" i="4"/>
  <c r="Q47" i="4"/>
  <c r="T47" i="4" s="1"/>
  <c r="R47" i="4"/>
  <c r="Q48" i="4"/>
  <c r="R48" i="4"/>
  <c r="Q49" i="4"/>
  <c r="R49" i="4"/>
  <c r="P49" i="4"/>
  <c r="P48" i="4"/>
  <c r="P47" i="4"/>
  <c r="P46" i="4"/>
  <c r="P45" i="4"/>
  <c r="J45" i="4"/>
  <c r="K45" i="4"/>
  <c r="J46" i="4"/>
  <c r="K46" i="4"/>
  <c r="J47" i="4"/>
  <c r="K47" i="4"/>
  <c r="J48" i="4"/>
  <c r="L48" i="4" s="1"/>
  <c r="K48" i="4"/>
  <c r="J49" i="4"/>
  <c r="K49" i="4"/>
  <c r="I49" i="4"/>
  <c r="I48" i="4"/>
  <c r="I47" i="4"/>
  <c r="C45" i="4"/>
  <c r="D45" i="4"/>
  <c r="C46" i="4"/>
  <c r="D46" i="4"/>
  <c r="C47" i="4"/>
  <c r="D47" i="4"/>
  <c r="C48" i="4"/>
  <c r="D48" i="4"/>
  <c r="C49" i="4"/>
  <c r="D49" i="4"/>
  <c r="B49" i="4"/>
  <c r="B48" i="4"/>
  <c r="B47" i="4"/>
  <c r="B46" i="4"/>
  <c r="B45" i="4"/>
  <c r="D72" i="4"/>
  <c r="J51" i="4"/>
  <c r="P41" i="4"/>
  <c r="C59" i="4"/>
  <c r="D59" i="4"/>
  <c r="B59" i="4"/>
  <c r="B57" i="4"/>
  <c r="J59" i="4"/>
  <c r="K59" i="4"/>
  <c r="J53" i="4"/>
  <c r="K53" i="4"/>
  <c r="J55" i="4"/>
  <c r="K55" i="4"/>
  <c r="J57" i="4"/>
  <c r="K57" i="4"/>
  <c r="C57" i="4"/>
  <c r="D57" i="4"/>
  <c r="I59" i="4"/>
  <c r="I57" i="4"/>
  <c r="B55" i="4"/>
  <c r="I53" i="4"/>
  <c r="B51" i="4"/>
  <c r="F51" i="4" s="1"/>
  <c r="C55" i="4"/>
  <c r="D55" i="4"/>
  <c r="Q53" i="4"/>
  <c r="R53" i="4"/>
  <c r="P53" i="4"/>
  <c r="C53" i="4"/>
  <c r="D53" i="4"/>
  <c r="B53" i="4"/>
  <c r="Q55" i="4"/>
  <c r="R55" i="4"/>
  <c r="P55" i="4"/>
  <c r="Q57" i="4"/>
  <c r="T57" i="4" s="1"/>
  <c r="R57" i="4"/>
  <c r="P57" i="4"/>
  <c r="Q59" i="4"/>
  <c r="R59" i="4"/>
  <c r="P59" i="4"/>
  <c r="M49" i="4"/>
  <c r="F46" i="4"/>
  <c r="W2" i="4"/>
  <c r="Z2" i="4"/>
  <c r="P43" i="4"/>
  <c r="Q42" i="4"/>
  <c r="R42" i="4"/>
  <c r="R43" i="4"/>
  <c r="Q40" i="4"/>
  <c r="R40" i="4"/>
  <c r="T45" i="4"/>
  <c r="K42" i="4"/>
  <c r="Q37" i="5"/>
  <c r="Q43" i="5"/>
  <c r="R43" i="5"/>
  <c r="P43" i="5"/>
  <c r="Q42" i="5"/>
  <c r="R42" i="5"/>
  <c r="C39" i="5"/>
  <c r="D39" i="5"/>
  <c r="C40" i="5"/>
  <c r="D40" i="5"/>
  <c r="F40" i="5" s="1"/>
  <c r="C41" i="5"/>
  <c r="D41" i="5"/>
  <c r="C42" i="5"/>
  <c r="D42" i="5"/>
  <c r="E42" i="5" s="1"/>
  <c r="C43" i="5"/>
  <c r="D43" i="5"/>
  <c r="P42" i="5"/>
  <c r="B43" i="5"/>
  <c r="F43" i="5" s="1"/>
  <c r="Q41" i="5"/>
  <c r="R41" i="5"/>
  <c r="P41" i="5"/>
  <c r="B42" i="5"/>
  <c r="Q40" i="5"/>
  <c r="R40" i="5"/>
  <c r="P40" i="5"/>
  <c r="B41" i="5"/>
  <c r="E41" i="5" s="1"/>
  <c r="B40" i="5"/>
  <c r="B39" i="5"/>
  <c r="J40" i="5"/>
  <c r="K40" i="5"/>
  <c r="J41" i="5"/>
  <c r="K41" i="5"/>
  <c r="J42" i="5"/>
  <c r="K42" i="5"/>
  <c r="J43" i="5"/>
  <c r="K43" i="5"/>
  <c r="R39" i="5"/>
  <c r="M40" i="5"/>
  <c r="Q39" i="5"/>
  <c r="P39" i="5"/>
  <c r="I43" i="5"/>
  <c r="I42" i="5"/>
  <c r="I41" i="5"/>
  <c r="I40" i="5"/>
  <c r="J39" i="5"/>
  <c r="L39" i="5" s="1"/>
  <c r="K39" i="5"/>
  <c r="L41" i="5"/>
  <c r="R37" i="5"/>
  <c r="Q36" i="5"/>
  <c r="R36" i="5"/>
  <c r="P36" i="5"/>
  <c r="P35" i="5"/>
  <c r="P34" i="5"/>
  <c r="J37" i="5"/>
  <c r="K37" i="5"/>
  <c r="J35" i="5"/>
  <c r="K34" i="5"/>
  <c r="Q33" i="5"/>
  <c r="R33" i="5"/>
  <c r="I35" i="5"/>
  <c r="I50" i="5" s="1"/>
  <c r="I34" i="5"/>
  <c r="I48" i="5" s="1"/>
  <c r="C36" i="5"/>
  <c r="D35" i="5"/>
  <c r="D50" i="5" s="1"/>
  <c r="D58" i="5" s="1"/>
  <c r="C34" i="5"/>
  <c r="D34" i="5"/>
  <c r="B37" i="5"/>
  <c r="B34" i="5"/>
  <c r="B46" i="5"/>
  <c r="B9" i="1"/>
  <c r="C9" i="1"/>
  <c r="D9" i="1"/>
  <c r="I9" i="1"/>
  <c r="B45" i="5"/>
  <c r="E45" i="5" s="1"/>
  <c r="C45" i="5"/>
  <c r="D45" i="5"/>
  <c r="I45" i="5"/>
  <c r="L45" i="5" s="1"/>
  <c r="J45" i="5"/>
  <c r="K45" i="5"/>
  <c r="P45" i="5"/>
  <c r="Q45" i="5"/>
  <c r="T45" i="5" s="1"/>
  <c r="R45" i="5"/>
  <c r="S45" i="5" s="1"/>
  <c r="B47" i="5"/>
  <c r="E47" i="5" s="1"/>
  <c r="C47" i="5"/>
  <c r="D47" i="5"/>
  <c r="I47" i="5"/>
  <c r="L47" i="5" s="1"/>
  <c r="J47" i="5"/>
  <c r="K47" i="5"/>
  <c r="M47" i="5"/>
  <c r="P47" i="5"/>
  <c r="Q47" i="5"/>
  <c r="R47" i="5"/>
  <c r="S47" i="5"/>
  <c r="T47" i="5"/>
  <c r="B49" i="5"/>
  <c r="F49" i="5" s="1"/>
  <c r="C49" i="5"/>
  <c r="D49" i="5"/>
  <c r="E49" i="5"/>
  <c r="I49" i="5"/>
  <c r="J49" i="5"/>
  <c r="K49" i="5"/>
  <c r="L49" i="5"/>
  <c r="M49" i="5"/>
  <c r="P49" i="5"/>
  <c r="Q49" i="5"/>
  <c r="S49" i="5" s="1"/>
  <c r="R49" i="5"/>
  <c r="B51" i="5"/>
  <c r="F51" i="5" s="1"/>
  <c r="C51" i="5"/>
  <c r="D51" i="5"/>
  <c r="E51" i="5" s="1"/>
  <c r="I51" i="5"/>
  <c r="L51" i="5" s="1"/>
  <c r="J51" i="5"/>
  <c r="K51" i="5"/>
  <c r="P51" i="5"/>
  <c r="T51" i="5" s="1"/>
  <c r="Q51" i="5"/>
  <c r="R51" i="5"/>
  <c r="S51" i="5"/>
  <c r="B53" i="5"/>
  <c r="C53" i="5"/>
  <c r="D53" i="5"/>
  <c r="E53" i="5"/>
  <c r="F53" i="5"/>
  <c r="I53" i="5"/>
  <c r="L53" i="5" s="1"/>
  <c r="J53" i="5"/>
  <c r="K53" i="5"/>
  <c r="P53" i="5"/>
  <c r="Q53" i="5"/>
  <c r="T53" i="5" s="1"/>
  <c r="R53" i="5"/>
  <c r="S53" i="5" s="1"/>
  <c r="E27" i="5"/>
  <c r="F27" i="5"/>
  <c r="L27" i="5"/>
  <c r="M27" i="5"/>
  <c r="S27" i="5"/>
  <c r="T27" i="5"/>
  <c r="E28" i="5"/>
  <c r="F28" i="5"/>
  <c r="L28" i="5"/>
  <c r="M28" i="5"/>
  <c r="S28" i="5"/>
  <c r="T28" i="5"/>
  <c r="E29" i="5"/>
  <c r="F29" i="5"/>
  <c r="L29" i="5"/>
  <c r="M29" i="5"/>
  <c r="S29" i="5"/>
  <c r="T29" i="5"/>
  <c r="E30" i="5"/>
  <c r="F30" i="5"/>
  <c r="L30" i="5"/>
  <c r="M30" i="5"/>
  <c r="S30" i="5"/>
  <c r="T30" i="5"/>
  <c r="E31" i="5"/>
  <c r="F31" i="5"/>
  <c r="L31" i="5"/>
  <c r="M31" i="5"/>
  <c r="S31" i="5"/>
  <c r="T31" i="5"/>
  <c r="E21" i="5"/>
  <c r="F21" i="5"/>
  <c r="L21" i="5"/>
  <c r="M21" i="5"/>
  <c r="S21" i="5"/>
  <c r="T21" i="5"/>
  <c r="E22" i="5"/>
  <c r="F22" i="5"/>
  <c r="L22" i="5"/>
  <c r="M22" i="5"/>
  <c r="S22" i="5"/>
  <c r="T22" i="5"/>
  <c r="E23" i="5"/>
  <c r="F23" i="5"/>
  <c r="L23" i="5"/>
  <c r="M23" i="5"/>
  <c r="S23" i="5"/>
  <c r="T23" i="5"/>
  <c r="E24" i="5"/>
  <c r="F24" i="5"/>
  <c r="L24" i="5"/>
  <c r="M24" i="5"/>
  <c r="S24" i="5"/>
  <c r="T24" i="5"/>
  <c r="E25" i="5"/>
  <c r="F25" i="5"/>
  <c r="L25" i="5"/>
  <c r="M25" i="5"/>
  <c r="S25" i="5"/>
  <c r="T25" i="5"/>
  <c r="E9" i="5"/>
  <c r="F9" i="5"/>
  <c r="L9" i="5"/>
  <c r="M9" i="5"/>
  <c r="S9" i="5"/>
  <c r="T9" i="5"/>
  <c r="E10" i="5"/>
  <c r="F10" i="5"/>
  <c r="L10" i="5"/>
  <c r="M10" i="5"/>
  <c r="S10" i="5"/>
  <c r="T10" i="5"/>
  <c r="E11" i="5"/>
  <c r="F11" i="5"/>
  <c r="L11" i="5"/>
  <c r="M11" i="5"/>
  <c r="S11" i="5"/>
  <c r="T11" i="5"/>
  <c r="E12" i="5"/>
  <c r="F12" i="5"/>
  <c r="L12" i="5"/>
  <c r="M12" i="5"/>
  <c r="S12" i="5"/>
  <c r="T12" i="5"/>
  <c r="E13" i="5"/>
  <c r="F13" i="5"/>
  <c r="L13" i="5"/>
  <c r="M13" i="5"/>
  <c r="S13" i="5"/>
  <c r="T13" i="5"/>
  <c r="E15" i="5"/>
  <c r="F15" i="5"/>
  <c r="L15" i="5"/>
  <c r="M15" i="5"/>
  <c r="S15" i="5"/>
  <c r="T15" i="5"/>
  <c r="E16" i="5"/>
  <c r="F16" i="5"/>
  <c r="L16" i="5"/>
  <c r="M16" i="5"/>
  <c r="S16" i="5"/>
  <c r="T16" i="5"/>
  <c r="E17" i="5"/>
  <c r="F17" i="5"/>
  <c r="L17" i="5"/>
  <c r="M17" i="5"/>
  <c r="S17" i="5"/>
  <c r="T17" i="5"/>
  <c r="E18" i="5"/>
  <c r="F18" i="5"/>
  <c r="L18" i="5"/>
  <c r="M18" i="5"/>
  <c r="S18" i="5"/>
  <c r="T18" i="5"/>
  <c r="E19" i="5"/>
  <c r="F19" i="5"/>
  <c r="L19" i="5"/>
  <c r="M19" i="5"/>
  <c r="S19" i="5"/>
  <c r="T19" i="5"/>
  <c r="E3" i="5"/>
  <c r="F3" i="5"/>
  <c r="L3" i="5"/>
  <c r="M3" i="5"/>
  <c r="S3" i="5"/>
  <c r="T3" i="5"/>
  <c r="E4" i="5"/>
  <c r="F4" i="5"/>
  <c r="L4" i="5"/>
  <c r="M4" i="5"/>
  <c r="S4" i="5"/>
  <c r="T4" i="5"/>
  <c r="E5" i="5"/>
  <c r="F5" i="5"/>
  <c r="L5" i="5"/>
  <c r="M5" i="5"/>
  <c r="S5" i="5"/>
  <c r="T5" i="5"/>
  <c r="E6" i="5"/>
  <c r="F6" i="5"/>
  <c r="L6" i="5"/>
  <c r="M6" i="5"/>
  <c r="S6" i="5"/>
  <c r="T6" i="5"/>
  <c r="Y6" i="5"/>
  <c r="E7" i="5"/>
  <c r="F7" i="5"/>
  <c r="L7" i="5"/>
  <c r="M7" i="5"/>
  <c r="S7" i="5"/>
  <c r="T7" i="5"/>
  <c r="D7" i="2"/>
  <c r="C7" i="2"/>
  <c r="I6" i="2"/>
  <c r="F7" i="2"/>
  <c r="I37" i="3"/>
  <c r="I33" i="3"/>
  <c r="D8" i="1"/>
  <c r="C8" i="1"/>
  <c r="I8" i="1"/>
  <c r="B8" i="1"/>
  <c r="Y6" i="3"/>
  <c r="S59" i="4"/>
  <c r="R51" i="4"/>
  <c r="T51" i="4" s="1"/>
  <c r="Q51" i="4"/>
  <c r="P51" i="4"/>
  <c r="R39" i="4"/>
  <c r="Q39" i="4"/>
  <c r="P39" i="4"/>
  <c r="T36" i="4"/>
  <c r="S36" i="4"/>
  <c r="T35" i="4"/>
  <c r="S35" i="4"/>
  <c r="T34" i="4"/>
  <c r="S34" i="4"/>
  <c r="T33" i="4"/>
  <c r="S33" i="4"/>
  <c r="T32" i="4"/>
  <c r="S32" i="4"/>
  <c r="T31" i="4"/>
  <c r="S31" i="4"/>
  <c r="T29" i="4"/>
  <c r="S29" i="4"/>
  <c r="T28" i="4"/>
  <c r="S28" i="4"/>
  <c r="T27" i="4"/>
  <c r="S27" i="4"/>
  <c r="T26" i="4"/>
  <c r="S26" i="4"/>
  <c r="T25" i="4"/>
  <c r="S25" i="4"/>
  <c r="T24" i="4"/>
  <c r="S24" i="4"/>
  <c r="T22" i="4"/>
  <c r="S22" i="4"/>
  <c r="T21" i="4"/>
  <c r="S21" i="4"/>
  <c r="T20" i="4"/>
  <c r="S20" i="4"/>
  <c r="T19" i="4"/>
  <c r="S19" i="4"/>
  <c r="T18" i="4"/>
  <c r="S18" i="4"/>
  <c r="T17" i="4"/>
  <c r="S17" i="4"/>
  <c r="T15" i="4"/>
  <c r="S15" i="4"/>
  <c r="T14" i="4"/>
  <c r="S14" i="4"/>
  <c r="T13" i="4"/>
  <c r="S13" i="4"/>
  <c r="T12" i="4"/>
  <c r="S12" i="4"/>
  <c r="T11" i="4"/>
  <c r="S11" i="4"/>
  <c r="T10" i="4"/>
  <c r="S10" i="4"/>
  <c r="T8" i="4"/>
  <c r="S8" i="4"/>
  <c r="T7" i="4"/>
  <c r="S7" i="4"/>
  <c r="T6" i="4"/>
  <c r="S6" i="4"/>
  <c r="T5" i="4"/>
  <c r="S5" i="4"/>
  <c r="T4" i="4"/>
  <c r="S4" i="4"/>
  <c r="T3" i="4"/>
  <c r="S3" i="4"/>
  <c r="K51" i="4"/>
  <c r="I51" i="4"/>
  <c r="K43" i="4"/>
  <c r="K60" i="4" s="1"/>
  <c r="K66" i="4" s="1"/>
  <c r="J43" i="4"/>
  <c r="J60" i="4" s="1"/>
  <c r="I43" i="4"/>
  <c r="I60" i="4" s="1"/>
  <c r="J42" i="4"/>
  <c r="I42" i="4"/>
  <c r="I58" i="4" s="1"/>
  <c r="K41" i="4"/>
  <c r="J41" i="4"/>
  <c r="I41" i="4"/>
  <c r="I56" i="4" s="1"/>
  <c r="K40" i="4"/>
  <c r="J40" i="4"/>
  <c r="M40" i="4"/>
  <c r="AD40" i="4" s="1"/>
  <c r="K39" i="4"/>
  <c r="K52" i="4" s="1"/>
  <c r="K62" i="4" s="1"/>
  <c r="J39" i="4"/>
  <c r="J52" i="4" s="1"/>
  <c r="M36" i="4"/>
  <c r="L36" i="4"/>
  <c r="M35" i="4"/>
  <c r="L35" i="4"/>
  <c r="M34" i="4"/>
  <c r="L34" i="4"/>
  <c r="M33" i="4"/>
  <c r="L33" i="4"/>
  <c r="M32" i="4"/>
  <c r="L32" i="4"/>
  <c r="M31" i="4"/>
  <c r="L31" i="4"/>
  <c r="M29" i="4"/>
  <c r="L29" i="4"/>
  <c r="M28" i="4"/>
  <c r="L28" i="4"/>
  <c r="M27" i="4"/>
  <c r="L27" i="4"/>
  <c r="M26" i="4"/>
  <c r="L26" i="4"/>
  <c r="M25" i="4"/>
  <c r="L25" i="4"/>
  <c r="M24" i="4"/>
  <c r="L24" i="4"/>
  <c r="M22" i="4"/>
  <c r="L22" i="4"/>
  <c r="M21" i="4"/>
  <c r="L21" i="4"/>
  <c r="M20" i="4"/>
  <c r="L20" i="4"/>
  <c r="M19" i="4"/>
  <c r="L19" i="4"/>
  <c r="M18" i="4"/>
  <c r="L18" i="4"/>
  <c r="M17" i="4"/>
  <c r="L17" i="4"/>
  <c r="M15" i="4"/>
  <c r="L15" i="4"/>
  <c r="M14" i="4"/>
  <c r="L14" i="4"/>
  <c r="M13" i="4"/>
  <c r="L13" i="4"/>
  <c r="M12" i="4"/>
  <c r="L12" i="4"/>
  <c r="M11" i="4"/>
  <c r="L11" i="4"/>
  <c r="M10" i="4"/>
  <c r="L10" i="4"/>
  <c r="M8" i="4"/>
  <c r="L8" i="4"/>
  <c r="M7" i="4"/>
  <c r="L7" i="4"/>
  <c r="M6" i="4"/>
  <c r="L6" i="4"/>
  <c r="M5" i="4"/>
  <c r="L5" i="4"/>
  <c r="M4" i="4"/>
  <c r="L4" i="4"/>
  <c r="M3" i="4"/>
  <c r="L3" i="4"/>
  <c r="R37" i="3"/>
  <c r="Q37" i="3"/>
  <c r="Q54" i="3" s="1"/>
  <c r="Q60" i="3" s="1"/>
  <c r="P37" i="3"/>
  <c r="R36" i="3"/>
  <c r="Q36" i="3"/>
  <c r="P36" i="3"/>
  <c r="R35" i="3"/>
  <c r="Q35" i="3"/>
  <c r="P35" i="3"/>
  <c r="R34" i="3"/>
  <c r="Q34" i="3"/>
  <c r="Q48" i="3" s="1"/>
  <c r="Q57" i="3" s="1"/>
  <c r="P34" i="3"/>
  <c r="R33" i="3"/>
  <c r="Q33" i="3"/>
  <c r="P33" i="3"/>
  <c r="K37" i="3"/>
  <c r="J37" i="3"/>
  <c r="K36" i="3"/>
  <c r="J36" i="3"/>
  <c r="I36" i="3"/>
  <c r="K35" i="3"/>
  <c r="J35" i="3"/>
  <c r="I35" i="3"/>
  <c r="K34" i="3"/>
  <c r="J34" i="3"/>
  <c r="I34" i="3"/>
  <c r="I48" i="3" s="1"/>
  <c r="K33" i="3"/>
  <c r="J33" i="3"/>
  <c r="M33" i="3" s="1"/>
  <c r="C36" i="3"/>
  <c r="D36" i="3"/>
  <c r="D52" i="3" s="1"/>
  <c r="D59" i="3" s="1"/>
  <c r="C37" i="3"/>
  <c r="D37" i="3"/>
  <c r="C35" i="3"/>
  <c r="D35" i="3"/>
  <c r="C34" i="3"/>
  <c r="D34" i="3"/>
  <c r="C33" i="3"/>
  <c r="D33" i="3"/>
  <c r="B37" i="3"/>
  <c r="B36" i="3"/>
  <c r="B35" i="3"/>
  <c r="B34" i="3"/>
  <c r="B33" i="3"/>
  <c r="A65" i="3"/>
  <c r="C43" i="4"/>
  <c r="D43" i="4"/>
  <c r="C42" i="4"/>
  <c r="D42" i="4"/>
  <c r="B43" i="4"/>
  <c r="B42" i="4"/>
  <c r="C41" i="4"/>
  <c r="D41" i="4"/>
  <c r="B41" i="4"/>
  <c r="B56" i="4" s="1"/>
  <c r="C40" i="4"/>
  <c r="F40" i="4" s="1"/>
  <c r="AB40" i="4" s="1"/>
  <c r="D40" i="4"/>
  <c r="B40" i="4"/>
  <c r="C39" i="4"/>
  <c r="D39" i="4"/>
  <c r="A11" i="2"/>
  <c r="E31" i="4"/>
  <c r="F31" i="4"/>
  <c r="E32" i="4"/>
  <c r="F32" i="4"/>
  <c r="E33" i="4"/>
  <c r="F33" i="4"/>
  <c r="E34" i="4"/>
  <c r="F34" i="4"/>
  <c r="E35" i="4"/>
  <c r="F35" i="4"/>
  <c r="E36" i="4"/>
  <c r="F36" i="4"/>
  <c r="E24" i="4"/>
  <c r="F24" i="4"/>
  <c r="E25" i="4"/>
  <c r="F25" i="4"/>
  <c r="E26" i="4"/>
  <c r="F26" i="4"/>
  <c r="E27" i="4"/>
  <c r="F27" i="4"/>
  <c r="E28" i="4"/>
  <c r="F28" i="4"/>
  <c r="E29" i="4"/>
  <c r="F29" i="4"/>
  <c r="E17" i="4"/>
  <c r="F17" i="4"/>
  <c r="E18" i="4"/>
  <c r="F18" i="4"/>
  <c r="E19" i="4"/>
  <c r="F19" i="4"/>
  <c r="E20" i="4"/>
  <c r="F20" i="4"/>
  <c r="E21" i="4"/>
  <c r="F21" i="4"/>
  <c r="E22" i="4"/>
  <c r="F22" i="4"/>
  <c r="E10" i="4"/>
  <c r="F10" i="4"/>
  <c r="E11" i="4"/>
  <c r="F11" i="4"/>
  <c r="E12" i="4"/>
  <c r="F12" i="4"/>
  <c r="E13" i="4"/>
  <c r="F13" i="4"/>
  <c r="E14" i="4"/>
  <c r="F14" i="4"/>
  <c r="E15" i="4"/>
  <c r="F15" i="4"/>
  <c r="E4" i="4"/>
  <c r="F4" i="4"/>
  <c r="E53" i="4"/>
  <c r="C51" i="4"/>
  <c r="D51" i="4"/>
  <c r="F8" i="4"/>
  <c r="E8" i="4"/>
  <c r="F7" i="4"/>
  <c r="E7" i="4"/>
  <c r="F6" i="4"/>
  <c r="E6" i="4"/>
  <c r="F5" i="4"/>
  <c r="E5" i="4"/>
  <c r="F3" i="4"/>
  <c r="E3" i="4"/>
  <c r="R53" i="3"/>
  <c r="Q53" i="3"/>
  <c r="P53" i="3"/>
  <c r="S53" i="3" s="1"/>
  <c r="R52" i="3"/>
  <c r="R59" i="3" s="1"/>
  <c r="R51" i="3"/>
  <c r="Q51" i="3"/>
  <c r="P51" i="3"/>
  <c r="T51" i="3" s="1"/>
  <c r="R49" i="3"/>
  <c r="Q49" i="3"/>
  <c r="P49" i="3"/>
  <c r="T49" i="3" s="1"/>
  <c r="R47" i="3"/>
  <c r="Q47" i="3"/>
  <c r="P47" i="3"/>
  <c r="R45" i="3"/>
  <c r="Q45" i="3"/>
  <c r="P45" i="3"/>
  <c r="T45" i="3" s="1"/>
  <c r="R43" i="3"/>
  <c r="Q43" i="3"/>
  <c r="P43" i="3"/>
  <c r="R42" i="3"/>
  <c r="Q42" i="3"/>
  <c r="Q52" i="3" s="1"/>
  <c r="Q59" i="3" s="1"/>
  <c r="P42" i="3"/>
  <c r="R41" i="3"/>
  <c r="Q41" i="3"/>
  <c r="P41" i="3"/>
  <c r="P50" i="3" s="1"/>
  <c r="R40" i="3"/>
  <c r="Q40" i="3"/>
  <c r="P40" i="3"/>
  <c r="T40" i="3" s="1"/>
  <c r="R39" i="3"/>
  <c r="Q39" i="3"/>
  <c r="P39" i="3"/>
  <c r="S39" i="3" s="1"/>
  <c r="R54" i="3"/>
  <c r="R60" i="3" s="1"/>
  <c r="R48" i="3"/>
  <c r="T31" i="3"/>
  <c r="S31" i="3"/>
  <c r="T30" i="3"/>
  <c r="S30" i="3"/>
  <c r="T29" i="3"/>
  <c r="S29" i="3"/>
  <c r="T28" i="3"/>
  <c r="S28" i="3"/>
  <c r="T27" i="3"/>
  <c r="S27" i="3"/>
  <c r="T25" i="3"/>
  <c r="S25" i="3"/>
  <c r="T24" i="3"/>
  <c r="S24" i="3"/>
  <c r="T23" i="3"/>
  <c r="S23" i="3"/>
  <c r="T22" i="3"/>
  <c r="S22" i="3"/>
  <c r="T21" i="3"/>
  <c r="S21" i="3"/>
  <c r="T19" i="3"/>
  <c r="S19" i="3"/>
  <c r="T18" i="3"/>
  <c r="S18" i="3"/>
  <c r="T17" i="3"/>
  <c r="S17" i="3"/>
  <c r="T16" i="3"/>
  <c r="S16" i="3"/>
  <c r="T15" i="3"/>
  <c r="S15" i="3"/>
  <c r="T13" i="3"/>
  <c r="S13" i="3"/>
  <c r="T12" i="3"/>
  <c r="S12" i="3"/>
  <c r="T11" i="3"/>
  <c r="S11" i="3"/>
  <c r="T10" i="3"/>
  <c r="S10" i="3"/>
  <c r="T9" i="3"/>
  <c r="S9" i="3"/>
  <c r="T7" i="3"/>
  <c r="S7" i="3"/>
  <c r="T6" i="3"/>
  <c r="S6" i="3"/>
  <c r="T5" i="3"/>
  <c r="S5" i="3"/>
  <c r="T4" i="3"/>
  <c r="S4" i="3"/>
  <c r="T3" i="3"/>
  <c r="S3" i="3"/>
  <c r="K53" i="3"/>
  <c r="L53" i="3" s="1"/>
  <c r="J53" i="3"/>
  <c r="I53" i="3"/>
  <c r="M53" i="3" s="1"/>
  <c r="K52" i="3"/>
  <c r="K59" i="3" s="1"/>
  <c r="J52" i="3"/>
  <c r="J59" i="3" s="1"/>
  <c r="I52" i="3"/>
  <c r="K51" i="3"/>
  <c r="J51" i="3"/>
  <c r="I51" i="3"/>
  <c r="M51" i="3" s="1"/>
  <c r="K49" i="3"/>
  <c r="J49" i="3"/>
  <c r="I49" i="3"/>
  <c r="M49" i="3" s="1"/>
  <c r="K47" i="3"/>
  <c r="J47" i="3"/>
  <c r="I47" i="3"/>
  <c r="K45" i="3"/>
  <c r="J45" i="3"/>
  <c r="I45" i="3"/>
  <c r="L45" i="3" s="1"/>
  <c r="K43" i="3"/>
  <c r="J43" i="3"/>
  <c r="I43" i="3"/>
  <c r="K42" i="3"/>
  <c r="J42" i="3"/>
  <c r="I42" i="3"/>
  <c r="K41" i="3"/>
  <c r="K50" i="3" s="1"/>
  <c r="K58" i="3" s="1"/>
  <c r="J41" i="3"/>
  <c r="I41" i="3"/>
  <c r="I50" i="3" s="1"/>
  <c r="K40" i="3"/>
  <c r="K48" i="3" s="1"/>
  <c r="K57" i="3" s="1"/>
  <c r="J40" i="3"/>
  <c r="I40" i="3"/>
  <c r="M40" i="3" s="1"/>
  <c r="K39" i="3"/>
  <c r="J39" i="3"/>
  <c r="I39" i="3"/>
  <c r="L39" i="3" s="1"/>
  <c r="K54" i="3"/>
  <c r="K60" i="3" s="1"/>
  <c r="J54" i="3"/>
  <c r="J60" i="3" s="1"/>
  <c r="J48" i="3"/>
  <c r="J57" i="3" s="1"/>
  <c r="M31" i="3"/>
  <c r="L31" i="3"/>
  <c r="M30" i="3"/>
  <c r="L30" i="3"/>
  <c r="M29" i="3"/>
  <c r="L29" i="3"/>
  <c r="M28" i="3"/>
  <c r="L28" i="3"/>
  <c r="M27" i="3"/>
  <c r="L27" i="3"/>
  <c r="M25" i="3"/>
  <c r="L25" i="3"/>
  <c r="M24" i="3"/>
  <c r="L24" i="3"/>
  <c r="M23" i="3"/>
  <c r="L23" i="3"/>
  <c r="M22" i="3"/>
  <c r="L22" i="3"/>
  <c r="M21" i="3"/>
  <c r="L21" i="3"/>
  <c r="M19" i="3"/>
  <c r="L19" i="3"/>
  <c r="M18" i="3"/>
  <c r="L18" i="3"/>
  <c r="M17" i="3"/>
  <c r="L17" i="3"/>
  <c r="M16" i="3"/>
  <c r="L16" i="3"/>
  <c r="M15" i="3"/>
  <c r="L15" i="3"/>
  <c r="M13" i="3"/>
  <c r="L13" i="3"/>
  <c r="M12" i="3"/>
  <c r="L12" i="3"/>
  <c r="M11" i="3"/>
  <c r="L11" i="3"/>
  <c r="M10" i="3"/>
  <c r="L10" i="3"/>
  <c r="M9" i="3"/>
  <c r="L9" i="3"/>
  <c r="M7" i="3"/>
  <c r="L7" i="3"/>
  <c r="M6" i="3"/>
  <c r="L6" i="3"/>
  <c r="M5" i="3"/>
  <c r="L5" i="3"/>
  <c r="M4" i="3"/>
  <c r="L4" i="3"/>
  <c r="M3" i="3"/>
  <c r="L3" i="3"/>
  <c r="B51" i="3"/>
  <c r="B49" i="3"/>
  <c r="B47" i="3"/>
  <c r="F27" i="3"/>
  <c r="E27" i="3"/>
  <c r="B39" i="3"/>
  <c r="B46" i="3" s="1"/>
  <c r="B56" i="3" s="1"/>
  <c r="D53" i="3"/>
  <c r="C53" i="3"/>
  <c r="B53" i="3"/>
  <c r="F31" i="3"/>
  <c r="E31" i="3"/>
  <c r="F30" i="3"/>
  <c r="E30" i="3"/>
  <c r="D51" i="3"/>
  <c r="C51" i="3"/>
  <c r="F25" i="3"/>
  <c r="E25" i="3"/>
  <c r="F24" i="3"/>
  <c r="E24" i="3"/>
  <c r="D49" i="3"/>
  <c r="C49" i="3"/>
  <c r="F19" i="3"/>
  <c r="E19" i="3"/>
  <c r="F18" i="3"/>
  <c r="E18" i="3"/>
  <c r="D47" i="3"/>
  <c r="C47" i="3"/>
  <c r="F13" i="3"/>
  <c r="E13" i="3"/>
  <c r="F12" i="3"/>
  <c r="E12" i="3"/>
  <c r="B45" i="3"/>
  <c r="C45" i="3"/>
  <c r="D45" i="3"/>
  <c r="D42" i="3"/>
  <c r="C42" i="3"/>
  <c r="B42" i="3"/>
  <c r="B52" i="3" s="1"/>
  <c r="B59" i="3" s="1"/>
  <c r="F23" i="3"/>
  <c r="E23" i="3"/>
  <c r="F22" i="3"/>
  <c r="E22" i="3"/>
  <c r="D40" i="3"/>
  <c r="D48" i="3" s="1"/>
  <c r="D57" i="3" s="1"/>
  <c r="C40" i="3"/>
  <c r="C48" i="3" s="1"/>
  <c r="C57" i="3" s="1"/>
  <c r="B40" i="3"/>
  <c r="F11" i="3"/>
  <c r="E11" i="3"/>
  <c r="F10" i="3"/>
  <c r="E10" i="3"/>
  <c r="D41" i="3"/>
  <c r="C41" i="3"/>
  <c r="B41" i="3"/>
  <c r="F17" i="3"/>
  <c r="E17" i="3"/>
  <c r="F16" i="3"/>
  <c r="E16" i="3"/>
  <c r="D43" i="3"/>
  <c r="C43" i="3"/>
  <c r="B43" i="3"/>
  <c r="F29" i="3"/>
  <c r="E29" i="3"/>
  <c r="F28" i="3"/>
  <c r="E28" i="3"/>
  <c r="F15" i="3"/>
  <c r="E15" i="3"/>
  <c r="F9" i="3"/>
  <c r="E9" i="3"/>
  <c r="F3" i="3"/>
  <c r="E3" i="3"/>
  <c r="C39" i="3"/>
  <c r="C46" i="3" s="1"/>
  <c r="C56" i="3" s="1"/>
  <c r="D39" i="3"/>
  <c r="E4" i="3"/>
  <c r="F4" i="3"/>
  <c r="F5" i="3"/>
  <c r="F6" i="3"/>
  <c r="F7" i="3"/>
  <c r="F21" i="3"/>
  <c r="E5" i="3"/>
  <c r="E6" i="3"/>
  <c r="E7" i="3"/>
  <c r="E21" i="3"/>
  <c r="C52" i="3"/>
  <c r="AN19" i="5" l="1"/>
  <c r="AN8" i="5"/>
  <c r="AN9" i="5"/>
  <c r="AN12" i="5"/>
  <c r="AJ5" i="5"/>
  <c r="AK17" i="5"/>
  <c r="AN17" i="5" s="1"/>
  <c r="AL6" i="5"/>
  <c r="AN6" i="5" s="1"/>
  <c r="AJ13" i="5"/>
  <c r="AK11" i="5"/>
  <c r="AN11" i="5" s="1"/>
  <c r="AJ12" i="5"/>
  <c r="AJ8" i="5"/>
  <c r="AJ7" i="5"/>
  <c r="AF81" i="4"/>
  <c r="AJ81" i="4" s="1"/>
  <c r="AC72" i="4"/>
  <c r="AF19" i="5"/>
  <c r="O11" i="1"/>
  <c r="N10" i="2"/>
  <c r="L40" i="4"/>
  <c r="E40" i="4"/>
  <c r="B58" i="4"/>
  <c r="J58" i="4"/>
  <c r="M48" i="4"/>
  <c r="J62" i="4"/>
  <c r="P52" i="4"/>
  <c r="E59" i="4"/>
  <c r="J66" i="4"/>
  <c r="M53" i="4"/>
  <c r="J56" i="4"/>
  <c r="K56" i="4"/>
  <c r="L49" i="4"/>
  <c r="Q43" i="4"/>
  <c r="S43" i="4" s="1"/>
  <c r="M43" i="4"/>
  <c r="AD43" i="4" s="1"/>
  <c r="C60" i="4"/>
  <c r="R41" i="4"/>
  <c r="R56" i="4" s="1"/>
  <c r="C58" i="4"/>
  <c r="P42" i="4"/>
  <c r="T42" i="4" s="1"/>
  <c r="AF42" i="4" s="1"/>
  <c r="Q41" i="4"/>
  <c r="S40" i="4"/>
  <c r="F42" i="4"/>
  <c r="AB42" i="4" s="1"/>
  <c r="T40" i="4"/>
  <c r="AF40" i="4" s="1"/>
  <c r="R60" i="4"/>
  <c r="Q58" i="4"/>
  <c r="R58" i="4"/>
  <c r="T48" i="4"/>
  <c r="P56" i="4"/>
  <c r="R54" i="4"/>
  <c r="T46" i="4"/>
  <c r="K58" i="4"/>
  <c r="Q52" i="4"/>
  <c r="R52" i="4"/>
  <c r="J54" i="4"/>
  <c r="D48" i="5"/>
  <c r="D57" i="5" s="1"/>
  <c r="F41" i="5"/>
  <c r="E43" i="5"/>
  <c r="B54" i="5"/>
  <c r="B60" i="5" s="1"/>
  <c r="Q52" i="5"/>
  <c r="Q59" i="5" s="1"/>
  <c r="C52" i="5"/>
  <c r="C59" i="5" s="1"/>
  <c r="S41" i="5"/>
  <c r="E40" i="5"/>
  <c r="B35" i="5"/>
  <c r="C35" i="5"/>
  <c r="C50" i="5" s="1"/>
  <c r="C58" i="5" s="1"/>
  <c r="J34" i="5"/>
  <c r="R34" i="5"/>
  <c r="B36" i="5"/>
  <c r="B52" i="5" s="1"/>
  <c r="B59" i="5" s="1"/>
  <c r="D36" i="5"/>
  <c r="I37" i="5"/>
  <c r="M37" i="5" s="1"/>
  <c r="K35" i="5"/>
  <c r="Q34" i="5"/>
  <c r="P37" i="5"/>
  <c r="D33" i="5"/>
  <c r="D46" i="5" s="1"/>
  <c r="D56" i="5" s="1"/>
  <c r="D37" i="5"/>
  <c r="F37" i="5" s="1"/>
  <c r="K33" i="5"/>
  <c r="L33" i="5" s="1"/>
  <c r="K52" i="5"/>
  <c r="K59" i="5" s="1"/>
  <c r="R35" i="5"/>
  <c r="C33" i="5"/>
  <c r="F33" i="5" s="1"/>
  <c r="C37" i="5"/>
  <c r="C54" i="5" s="1"/>
  <c r="C60" i="5" s="1"/>
  <c r="J33" i="5"/>
  <c r="M36" i="5"/>
  <c r="Q35" i="5"/>
  <c r="Q50" i="5" s="1"/>
  <c r="Q58" i="5" s="1"/>
  <c r="K46" i="5"/>
  <c r="K56" i="5" s="1"/>
  <c r="E35" i="5"/>
  <c r="T36" i="5"/>
  <c r="S37" i="5"/>
  <c r="Q46" i="5"/>
  <c r="Q56" i="5" s="1"/>
  <c r="R46" i="5"/>
  <c r="R56" i="5" s="1"/>
  <c r="J48" i="5"/>
  <c r="J57" i="5" s="1"/>
  <c r="P54" i="5"/>
  <c r="P60" i="5" s="1"/>
  <c r="R54" i="5"/>
  <c r="R60" i="5" s="1"/>
  <c r="S33" i="5"/>
  <c r="Q54" i="5"/>
  <c r="Q60" i="5" s="1"/>
  <c r="J52" i="5"/>
  <c r="J59" i="5" s="1"/>
  <c r="S42" i="5"/>
  <c r="F42" i="5"/>
  <c r="B48" i="5"/>
  <c r="S40" i="5"/>
  <c r="S39" i="5"/>
  <c r="P46" i="5"/>
  <c r="T46" i="5" s="1"/>
  <c r="L40" i="5"/>
  <c r="C48" i="5"/>
  <c r="C57" i="5" s="1"/>
  <c r="D54" i="5"/>
  <c r="D60" i="5" s="1"/>
  <c r="D52" i="5"/>
  <c r="D59" i="5" s="1"/>
  <c r="I46" i="5"/>
  <c r="I56" i="5" s="1"/>
  <c r="R48" i="5"/>
  <c r="R57" i="5" s="1"/>
  <c r="Q48" i="5"/>
  <c r="Q57" i="5" s="1"/>
  <c r="T43" i="5"/>
  <c r="P52" i="5"/>
  <c r="P59" i="5" s="1"/>
  <c r="T42" i="5"/>
  <c r="S43" i="5"/>
  <c r="P48" i="5"/>
  <c r="K54" i="5"/>
  <c r="K60" i="5" s="1"/>
  <c r="L43" i="5"/>
  <c r="L42" i="5"/>
  <c r="J50" i="5"/>
  <c r="J58" i="5" s="1"/>
  <c r="K50" i="5"/>
  <c r="K58" i="5" s="1"/>
  <c r="M41" i="5"/>
  <c r="M39" i="5"/>
  <c r="R50" i="5"/>
  <c r="R58" i="5" s="1"/>
  <c r="T34" i="5"/>
  <c r="E33" i="5"/>
  <c r="F8" i="1"/>
  <c r="E9" i="1"/>
  <c r="F9" i="1"/>
  <c r="B56" i="5"/>
  <c r="I58" i="5"/>
  <c r="F59" i="3"/>
  <c r="I57" i="5"/>
  <c r="T37" i="5"/>
  <c r="S36" i="5"/>
  <c r="F35" i="5"/>
  <c r="E34" i="5"/>
  <c r="I52" i="5"/>
  <c r="E8" i="1"/>
  <c r="M42" i="5"/>
  <c r="T39" i="5"/>
  <c r="F36" i="5"/>
  <c r="M33" i="5"/>
  <c r="J54" i="5"/>
  <c r="J60" i="5" s="1"/>
  <c r="R52" i="5"/>
  <c r="R59" i="5" s="1"/>
  <c r="P50" i="5"/>
  <c r="J46" i="5"/>
  <c r="J56" i="5" s="1"/>
  <c r="B50" i="3"/>
  <c r="B58" i="3" s="1"/>
  <c r="P48" i="3"/>
  <c r="T41" i="3"/>
  <c r="M51" i="4"/>
  <c r="I54" i="4"/>
  <c r="M59" i="4"/>
  <c r="T59" i="4"/>
  <c r="E7" i="2"/>
  <c r="I7" i="2" s="1"/>
  <c r="M43" i="5"/>
  <c r="T40" i="5"/>
  <c r="M34" i="5"/>
  <c r="K48" i="5"/>
  <c r="K57" i="5" s="1"/>
  <c r="F45" i="5"/>
  <c r="C59" i="3"/>
  <c r="E59" i="3" s="1"/>
  <c r="K46" i="3"/>
  <c r="K56" i="3" s="1"/>
  <c r="M42" i="3"/>
  <c r="T42" i="3"/>
  <c r="F55" i="4"/>
  <c r="T35" i="3"/>
  <c r="S39" i="4"/>
  <c r="S49" i="4"/>
  <c r="S57" i="4"/>
  <c r="T41" i="5"/>
  <c r="F39" i="5"/>
  <c r="M35" i="5"/>
  <c r="L34" i="5"/>
  <c r="M51" i="5"/>
  <c r="B50" i="5"/>
  <c r="T49" i="4"/>
  <c r="T53" i="4"/>
  <c r="E39" i="5"/>
  <c r="L35" i="5"/>
  <c r="T33" i="5"/>
  <c r="T49" i="5"/>
  <c r="F47" i="5"/>
  <c r="C52" i="4"/>
  <c r="T53" i="3"/>
  <c r="L35" i="3"/>
  <c r="Q46" i="3"/>
  <c r="Q56" i="3" s="1"/>
  <c r="P52" i="3"/>
  <c r="P59" i="3" s="1"/>
  <c r="M53" i="5"/>
  <c r="M45" i="5"/>
  <c r="R57" i="3"/>
  <c r="S45" i="3"/>
  <c r="P46" i="3"/>
  <c r="P56" i="3" s="1"/>
  <c r="M45" i="3"/>
  <c r="D46" i="3"/>
  <c r="D56" i="3" s="1"/>
  <c r="E56" i="3" s="1"/>
  <c r="L43" i="3"/>
  <c r="Q50" i="3"/>
  <c r="Q58" i="3" s="1"/>
  <c r="T43" i="3"/>
  <c r="R46" i="3"/>
  <c r="R56" i="3" s="1"/>
  <c r="T56" i="3" s="1"/>
  <c r="M46" i="4"/>
  <c r="AD46" i="4" s="1"/>
  <c r="L53" i="4"/>
  <c r="L55" i="4"/>
  <c r="T39" i="4"/>
  <c r="AF39" i="4" s="1"/>
  <c r="S47" i="4"/>
  <c r="S51" i="4"/>
  <c r="S34" i="5"/>
  <c r="C46" i="5"/>
  <c r="C56" i="5" s="1"/>
  <c r="M39" i="3"/>
  <c r="T39" i="3"/>
  <c r="L47" i="3"/>
  <c r="I59" i="3"/>
  <c r="S47" i="3"/>
  <c r="J46" i="3"/>
  <c r="J56" i="3" s="1"/>
  <c r="M56" i="3" s="1"/>
  <c r="M36" i="3"/>
  <c r="I52" i="4"/>
  <c r="M47" i="4"/>
  <c r="L57" i="4"/>
  <c r="S45" i="4"/>
  <c r="S48" i="4"/>
  <c r="T55" i="4"/>
  <c r="F34" i="5"/>
  <c r="Q56" i="4"/>
  <c r="S53" i="4"/>
  <c r="P60" i="4"/>
  <c r="S46" i="4"/>
  <c r="P54" i="4"/>
  <c r="S55" i="4"/>
  <c r="Q54" i="4"/>
  <c r="M60" i="4"/>
  <c r="AD60" i="4" s="1"/>
  <c r="L60" i="4"/>
  <c r="I66" i="4"/>
  <c r="I64" i="4"/>
  <c r="I65" i="4"/>
  <c r="M55" i="4"/>
  <c r="L41" i="4"/>
  <c r="M45" i="4"/>
  <c r="AD45" i="4" s="1"/>
  <c r="L51" i="4"/>
  <c r="L59" i="4"/>
  <c r="L42" i="4"/>
  <c r="M42" i="4"/>
  <c r="AD42" i="4" s="1"/>
  <c r="K54" i="4"/>
  <c r="M39" i="4"/>
  <c r="AD39" i="4" s="1"/>
  <c r="M57" i="4"/>
  <c r="M41" i="4"/>
  <c r="AD41" i="4" s="1"/>
  <c r="L47" i="4"/>
  <c r="L46" i="4"/>
  <c r="L39" i="4"/>
  <c r="L43" i="4"/>
  <c r="S35" i="3"/>
  <c r="T33" i="3"/>
  <c r="S36" i="3"/>
  <c r="M35" i="3"/>
  <c r="I46" i="3"/>
  <c r="I56" i="3" s="1"/>
  <c r="J50" i="3"/>
  <c r="J58" i="3" s="1"/>
  <c r="F56" i="3"/>
  <c r="E39" i="4"/>
  <c r="B62" i="4"/>
  <c r="D58" i="4"/>
  <c r="E43" i="4"/>
  <c r="F49" i="4"/>
  <c r="E42" i="4"/>
  <c r="E48" i="4"/>
  <c r="C56" i="4"/>
  <c r="B54" i="4"/>
  <c r="D54" i="4"/>
  <c r="F43" i="4"/>
  <c r="AB43" i="4" s="1"/>
  <c r="F47" i="4"/>
  <c r="D60" i="4"/>
  <c r="E57" i="4"/>
  <c r="D52" i="4"/>
  <c r="F41" i="4"/>
  <c r="AB41" i="4" s="1"/>
  <c r="F45" i="4"/>
  <c r="B60" i="4"/>
  <c r="E49" i="4"/>
  <c r="E45" i="4"/>
  <c r="F53" i="4"/>
  <c r="E41" i="4"/>
  <c r="E51" i="4"/>
  <c r="F39" i="4"/>
  <c r="AB39" i="4" s="1"/>
  <c r="E47" i="4"/>
  <c r="F48" i="4"/>
  <c r="C54" i="4"/>
  <c r="F57" i="4"/>
  <c r="F59" i="4"/>
  <c r="D56" i="4"/>
  <c r="E55" i="4"/>
  <c r="E46" i="4"/>
  <c r="P58" i="3"/>
  <c r="S48" i="3"/>
  <c r="P57" i="3"/>
  <c r="T48" i="3"/>
  <c r="S56" i="3"/>
  <c r="T59" i="3"/>
  <c r="S59" i="3"/>
  <c r="S37" i="3"/>
  <c r="P54" i="3"/>
  <c r="S52" i="3"/>
  <c r="R50" i="3"/>
  <c r="R58" i="3" s="1"/>
  <c r="S41" i="3"/>
  <c r="S34" i="3"/>
  <c r="T37" i="3"/>
  <c r="T47" i="3"/>
  <c r="S49" i="3"/>
  <c r="T52" i="3"/>
  <c r="S33" i="3"/>
  <c r="T36" i="3"/>
  <c r="S42" i="3"/>
  <c r="T46" i="3"/>
  <c r="S51" i="3"/>
  <c r="S43" i="3"/>
  <c r="T34" i="3"/>
  <c r="S40" i="3"/>
  <c r="L48" i="3"/>
  <c r="I57" i="3"/>
  <c r="M48" i="3"/>
  <c r="I58" i="3"/>
  <c r="L50" i="3"/>
  <c r="M59" i="3"/>
  <c r="L59" i="3"/>
  <c r="L41" i="3"/>
  <c r="M41" i="3"/>
  <c r="L34" i="3"/>
  <c r="M47" i="3"/>
  <c r="M34" i="3"/>
  <c r="L40" i="3"/>
  <c r="M43" i="3"/>
  <c r="L49" i="3"/>
  <c r="M52" i="3"/>
  <c r="L36" i="3"/>
  <c r="L46" i="3"/>
  <c r="L37" i="3"/>
  <c r="I54" i="3"/>
  <c r="M37" i="3"/>
  <c r="L52" i="3"/>
  <c r="L33" i="3"/>
  <c r="L42" i="3"/>
  <c r="M46" i="3"/>
  <c r="L51" i="3"/>
  <c r="D54" i="3"/>
  <c r="D60" i="3" s="1"/>
  <c r="B54" i="3"/>
  <c r="B60" i="3" s="1"/>
  <c r="C54" i="3"/>
  <c r="C60" i="3" s="1"/>
  <c r="C50" i="3"/>
  <c r="C58" i="3" s="1"/>
  <c r="E58" i="3" s="1"/>
  <c r="D50" i="3"/>
  <c r="D58" i="3" s="1"/>
  <c r="B48" i="3"/>
  <c r="B57" i="3" s="1"/>
  <c r="E57" i="3" s="1"/>
  <c r="F37" i="3"/>
  <c r="F52" i="3"/>
  <c r="F53" i="3"/>
  <c r="E46" i="3"/>
  <c r="F47" i="3"/>
  <c r="E45" i="3"/>
  <c r="F48" i="3"/>
  <c r="E49" i="3"/>
  <c r="E37" i="3"/>
  <c r="E51" i="3"/>
  <c r="E53" i="3"/>
  <c r="E54" i="3"/>
  <c r="F51" i="3"/>
  <c r="E52" i="3"/>
  <c r="F49" i="3"/>
  <c r="E47" i="3"/>
  <c r="F45" i="3"/>
  <c r="F42" i="3"/>
  <c r="F40" i="3"/>
  <c r="F46" i="3"/>
  <c r="E40" i="3"/>
  <c r="E42" i="3"/>
  <c r="F41" i="3"/>
  <c r="F43" i="3"/>
  <c r="E41" i="3"/>
  <c r="E43" i="3"/>
  <c r="F34" i="3"/>
  <c r="F35" i="3"/>
  <c r="F33" i="3"/>
  <c r="E35" i="3"/>
  <c r="E36" i="3"/>
  <c r="F39" i="3"/>
  <c r="E34" i="3"/>
  <c r="E33" i="3"/>
  <c r="F36" i="3"/>
  <c r="E39" i="3"/>
  <c r="I3" i="1"/>
  <c r="I4" i="1"/>
  <c r="I5" i="1"/>
  <c r="I6" i="1"/>
  <c r="I7" i="1"/>
  <c r="I2" i="1"/>
  <c r="D7" i="1"/>
  <c r="C7" i="1"/>
  <c r="B7" i="1"/>
  <c r="F7" i="1"/>
  <c r="E7" i="1"/>
  <c r="D6" i="1"/>
  <c r="C6" i="1"/>
  <c r="B6" i="1"/>
  <c r="F6" i="1" s="1"/>
  <c r="D5" i="1"/>
  <c r="C5" i="1"/>
  <c r="B5" i="1"/>
  <c r="D4" i="1"/>
  <c r="C4" i="1"/>
  <c r="B4" i="1"/>
  <c r="D3" i="1"/>
  <c r="C3" i="1"/>
  <c r="D2" i="1"/>
  <c r="C2" i="1"/>
  <c r="F2" i="1"/>
  <c r="D6" i="2"/>
  <c r="C6" i="2"/>
  <c r="B6" i="2"/>
  <c r="F6" i="2" s="1"/>
  <c r="D5" i="2"/>
  <c r="C5" i="2"/>
  <c r="B5" i="2"/>
  <c r="F5" i="2" s="1"/>
  <c r="F2" i="2"/>
  <c r="D4" i="2"/>
  <c r="C4" i="2"/>
  <c r="B4" i="2"/>
  <c r="F4" i="2" s="1"/>
  <c r="E2" i="2"/>
  <c r="D3" i="2"/>
  <c r="C3" i="2"/>
  <c r="B3" i="2"/>
  <c r="E3" i="2" s="1"/>
  <c r="R64" i="4" l="1"/>
  <c r="I63" i="4"/>
  <c r="P58" i="4"/>
  <c r="Q63" i="4"/>
  <c r="C66" i="4"/>
  <c r="D62" i="4"/>
  <c r="C65" i="4"/>
  <c r="S42" i="4"/>
  <c r="D66" i="4"/>
  <c r="AF76" i="4"/>
  <c r="AE80" i="4"/>
  <c r="C62" i="4"/>
  <c r="AE72" i="4"/>
  <c r="J63" i="4"/>
  <c r="AE78" i="4"/>
  <c r="Q62" i="4"/>
  <c r="T62" i="4" s="1"/>
  <c r="AF62" i="4" s="1"/>
  <c r="P64" i="4"/>
  <c r="K63" i="4"/>
  <c r="AF78" i="4"/>
  <c r="B63" i="4"/>
  <c r="E63" i="4" s="1"/>
  <c r="Q65" i="4"/>
  <c r="AE81" i="4"/>
  <c r="AI81" i="4" s="1"/>
  <c r="J64" i="4"/>
  <c r="M64" i="4" s="1"/>
  <c r="AD64" i="4" s="1"/>
  <c r="AE79" i="4"/>
  <c r="Q64" i="4"/>
  <c r="J65" i="4"/>
  <c r="R66" i="4"/>
  <c r="AD81" i="4"/>
  <c r="AG81" i="4" s="1"/>
  <c r="R63" i="4"/>
  <c r="AF83" i="4"/>
  <c r="R65" i="4"/>
  <c r="AF85" i="4"/>
  <c r="P62" i="4"/>
  <c r="D63" i="4"/>
  <c r="I62" i="4"/>
  <c r="K64" i="4"/>
  <c r="K65" i="4"/>
  <c r="AF80" i="4"/>
  <c r="C63" i="4"/>
  <c r="L58" i="4"/>
  <c r="AD76" i="4"/>
  <c r="R62" i="4"/>
  <c r="AF82" i="4"/>
  <c r="C64" i="4"/>
  <c r="D64" i="4"/>
  <c r="D65" i="4"/>
  <c r="T41" i="4"/>
  <c r="AF41" i="4" s="1"/>
  <c r="T43" i="4"/>
  <c r="AF43" i="4" s="1"/>
  <c r="M58" i="4"/>
  <c r="M56" i="4"/>
  <c r="L56" i="4"/>
  <c r="S41" i="4"/>
  <c r="Q60" i="4"/>
  <c r="S52" i="4"/>
  <c r="T52" i="4"/>
  <c r="AF52" i="4" s="1"/>
  <c r="F60" i="5"/>
  <c r="S35" i="5"/>
  <c r="E37" i="5"/>
  <c r="I54" i="5"/>
  <c r="L54" i="5" s="1"/>
  <c r="T35" i="5"/>
  <c r="L36" i="5"/>
  <c r="L37" i="5"/>
  <c r="E36" i="5"/>
  <c r="E48" i="5"/>
  <c r="S46" i="5"/>
  <c r="E52" i="5"/>
  <c r="T54" i="5"/>
  <c r="S54" i="5"/>
  <c r="F54" i="5"/>
  <c r="E54" i="5"/>
  <c r="F52" i="5"/>
  <c r="B57" i="5"/>
  <c r="F57" i="5" s="1"/>
  <c r="P56" i="5"/>
  <c r="S56" i="5" s="1"/>
  <c r="M50" i="5"/>
  <c r="E60" i="5"/>
  <c r="F48" i="5"/>
  <c r="T48" i="5"/>
  <c r="S48" i="5"/>
  <c r="P57" i="5"/>
  <c r="T57" i="5" s="1"/>
  <c r="L50" i="5"/>
  <c r="L46" i="5"/>
  <c r="M46" i="5"/>
  <c r="F4" i="1"/>
  <c r="E3" i="1"/>
  <c r="S50" i="5"/>
  <c r="T50" i="5"/>
  <c r="P58" i="5"/>
  <c r="L57" i="5"/>
  <c r="M57" i="5"/>
  <c r="S52" i="5"/>
  <c r="L56" i="5"/>
  <c r="M56" i="5"/>
  <c r="L56" i="3"/>
  <c r="L54" i="4"/>
  <c r="L52" i="4"/>
  <c r="T52" i="5"/>
  <c r="L58" i="5"/>
  <c r="M58" i="5"/>
  <c r="F58" i="3"/>
  <c r="M52" i="4"/>
  <c r="AD77" i="4" s="1"/>
  <c r="F50" i="5"/>
  <c r="B58" i="5"/>
  <c r="E50" i="5"/>
  <c r="I59" i="5"/>
  <c r="L52" i="5"/>
  <c r="M52" i="5"/>
  <c r="E59" i="5"/>
  <c r="F59" i="5"/>
  <c r="S46" i="3"/>
  <c r="T60" i="5"/>
  <c r="S60" i="5"/>
  <c r="F57" i="3"/>
  <c r="M48" i="5"/>
  <c r="F46" i="5"/>
  <c r="S59" i="5"/>
  <c r="T59" i="5"/>
  <c r="E56" i="5"/>
  <c r="F56" i="5"/>
  <c r="E48" i="3"/>
  <c r="L48" i="5"/>
  <c r="E46" i="5"/>
  <c r="P65" i="4"/>
  <c r="T58" i="4"/>
  <c r="AF58" i="4" s="1"/>
  <c r="S58" i="4"/>
  <c r="P63" i="4"/>
  <c r="T54" i="4"/>
  <c r="AF54" i="4" s="1"/>
  <c r="S54" i="4"/>
  <c r="S64" i="4"/>
  <c r="T64" i="4"/>
  <c r="AF64" i="4" s="1"/>
  <c r="T60" i="4"/>
  <c r="AF60" i="4" s="1"/>
  <c r="P66" i="4"/>
  <c r="T56" i="4"/>
  <c r="AF56" i="4" s="1"/>
  <c r="S56" i="4"/>
  <c r="L62" i="4"/>
  <c r="M62" i="4"/>
  <c r="AD62" i="4" s="1"/>
  <c r="L66" i="4"/>
  <c r="M66" i="4"/>
  <c r="AD66" i="4" s="1"/>
  <c r="M54" i="4"/>
  <c r="AD54" i="4" s="1"/>
  <c r="M50" i="3"/>
  <c r="F54" i="3"/>
  <c r="F60" i="3"/>
  <c r="E60" i="3"/>
  <c r="E60" i="4"/>
  <c r="F60" i="4"/>
  <c r="AB60" i="4" s="1"/>
  <c r="B66" i="4"/>
  <c r="F52" i="4"/>
  <c r="E52" i="4"/>
  <c r="E54" i="4"/>
  <c r="F54" i="4"/>
  <c r="AB54" i="4" s="1"/>
  <c r="E58" i="4"/>
  <c r="F58" i="4"/>
  <c r="AB58" i="4" s="1"/>
  <c r="B65" i="4"/>
  <c r="F56" i="4"/>
  <c r="B64" i="4"/>
  <c r="E56" i="4"/>
  <c r="S57" i="3"/>
  <c r="T57" i="3"/>
  <c r="S54" i="3"/>
  <c r="P60" i="3"/>
  <c r="T54" i="3"/>
  <c r="T58" i="3"/>
  <c r="S58" i="3"/>
  <c r="T50" i="3"/>
  <c r="S50" i="3"/>
  <c r="M58" i="3"/>
  <c r="L58" i="3"/>
  <c r="M54" i="3"/>
  <c r="I60" i="3"/>
  <c r="L54" i="3"/>
  <c r="L57" i="3"/>
  <c r="M57" i="3"/>
  <c r="F50" i="3"/>
  <c r="E50" i="3"/>
  <c r="E5" i="2"/>
  <c r="I5" i="2" s="1"/>
  <c r="F3" i="2"/>
  <c r="E6" i="2"/>
  <c r="E4" i="2"/>
  <c r="I4" i="2" s="1"/>
  <c r="E2" i="1"/>
  <c r="E5" i="1"/>
  <c r="F3" i="1"/>
  <c r="F5" i="1"/>
  <c r="E4" i="1"/>
  <c r="E6" i="1"/>
  <c r="AB56" i="4" l="1"/>
  <c r="AD74" i="4"/>
  <c r="AI72" i="4"/>
  <c r="AJ85" i="4"/>
  <c r="AH86" i="4"/>
  <c r="AJ82" i="4"/>
  <c r="AE73" i="4"/>
  <c r="AI73" i="4" s="1"/>
  <c r="AJ75" i="4"/>
  <c r="AF86" i="4"/>
  <c r="AD56" i="4"/>
  <c r="AD79" i="4"/>
  <c r="AD85" i="4"/>
  <c r="AF74" i="4"/>
  <c r="AJ74" i="4" s="1"/>
  <c r="AJ83" i="4"/>
  <c r="AE84" i="4"/>
  <c r="AI84" i="4" s="1"/>
  <c r="AD75" i="4"/>
  <c r="AG75" i="4" s="1"/>
  <c r="AE85" i="4"/>
  <c r="AI85" i="4" s="1"/>
  <c r="AE83" i="4"/>
  <c r="AI83" i="4" s="1"/>
  <c r="AH77" i="4"/>
  <c r="AK77" i="4" s="1"/>
  <c r="AJ78" i="4"/>
  <c r="AD78" i="4"/>
  <c r="AG78" i="4" s="1"/>
  <c r="AI78" i="4"/>
  <c r="AE75" i="4"/>
  <c r="S62" i="4"/>
  <c r="AD86" i="4"/>
  <c r="AE76" i="4"/>
  <c r="AI76" i="4" s="1"/>
  <c r="Q66" i="4"/>
  <c r="S66" i="4" s="1"/>
  <c r="AE86" i="4"/>
  <c r="AD73" i="4"/>
  <c r="AH73" i="4" s="1"/>
  <c r="F63" i="4"/>
  <c r="AB63" i="4" s="1"/>
  <c r="AF73" i="4"/>
  <c r="AJ73" i="4" s="1"/>
  <c r="AD84" i="4"/>
  <c r="AH78" i="4"/>
  <c r="AK78" i="4" s="1"/>
  <c r="AH74" i="4"/>
  <c r="AI80" i="4"/>
  <c r="E66" i="4"/>
  <c r="AH76" i="4"/>
  <c r="AI79" i="4"/>
  <c r="AH85" i="4"/>
  <c r="AD58" i="4"/>
  <c r="AD80" i="4"/>
  <c r="AD83" i="4"/>
  <c r="AJ76" i="4"/>
  <c r="AB52" i="4"/>
  <c r="AD72" i="4"/>
  <c r="AI75" i="4"/>
  <c r="L63" i="4"/>
  <c r="AJ80" i="4"/>
  <c r="AF79" i="4"/>
  <c r="AJ79" i="4" s="1"/>
  <c r="L64" i="4"/>
  <c r="E62" i="4"/>
  <c r="L65" i="4"/>
  <c r="AD82" i="4"/>
  <c r="AG82" i="4" s="1"/>
  <c r="AF84" i="4"/>
  <c r="AJ84" i="4" s="1"/>
  <c r="AI82" i="4"/>
  <c r="AE74" i="4"/>
  <c r="AI74" i="4" s="1"/>
  <c r="AJ86" i="4"/>
  <c r="AH83" i="4"/>
  <c r="AF72" i="4"/>
  <c r="AJ72" i="4" s="1"/>
  <c r="M63" i="4"/>
  <c r="AD63" i="4" s="1"/>
  <c r="AD52" i="4"/>
  <c r="AE77" i="4"/>
  <c r="AI77" i="4" s="1"/>
  <c r="AF77" i="4"/>
  <c r="AJ77" i="4" s="1"/>
  <c r="AH81" i="4"/>
  <c r="AK81" i="4" s="1"/>
  <c r="F62" i="4"/>
  <c r="AB62" i="4" s="1"/>
  <c r="M65" i="4"/>
  <c r="AD65" i="4" s="1"/>
  <c r="AF75" i="4"/>
  <c r="AE82" i="4"/>
  <c r="S60" i="4"/>
  <c r="I60" i="5"/>
  <c r="L60" i="5" s="1"/>
  <c r="M54" i="5"/>
  <c r="E57" i="5"/>
  <c r="T56" i="5"/>
  <c r="S57" i="5"/>
  <c r="M60" i="5"/>
  <c r="L59" i="5"/>
  <c r="M59" i="5"/>
  <c r="S58" i="5"/>
  <c r="T58" i="5"/>
  <c r="F66" i="4"/>
  <c r="AB66" i="4" s="1"/>
  <c r="F58" i="5"/>
  <c r="E58" i="5"/>
  <c r="T63" i="4"/>
  <c r="AF63" i="4" s="1"/>
  <c r="S63" i="4"/>
  <c r="S65" i="4"/>
  <c r="T65" i="4"/>
  <c r="AF65" i="4" s="1"/>
  <c r="F64" i="4"/>
  <c r="AB64" i="4" s="1"/>
  <c r="E64" i="4"/>
  <c r="F65" i="4"/>
  <c r="AB65" i="4" s="1"/>
  <c r="E65" i="4"/>
  <c r="T60" i="3"/>
  <c r="S60" i="3"/>
  <c r="M60" i="3"/>
  <c r="L60" i="3"/>
  <c r="AK73" i="4" l="1"/>
  <c r="AK83" i="4"/>
  <c r="AK76" i="4"/>
  <c r="AG79" i="4"/>
  <c r="AH79" i="4"/>
  <c r="AK79" i="4" s="1"/>
  <c r="AG76" i="4"/>
  <c r="AG74" i="4"/>
  <c r="AK74" i="4"/>
  <c r="AG73" i="4"/>
  <c r="T66" i="4"/>
  <c r="AF66" i="4" s="1"/>
  <c r="AG83" i="4"/>
  <c r="AG72" i="4"/>
  <c r="AH72" i="4"/>
  <c r="AK72" i="4" s="1"/>
  <c r="AG86" i="4"/>
  <c r="AG80" i="4"/>
  <c r="AH80" i="4"/>
  <c r="AK80" i="4" s="1"/>
  <c r="AK85" i="4"/>
  <c r="AG84" i="4"/>
  <c r="AH82" i="4"/>
  <c r="AK82" i="4" s="1"/>
  <c r="AH84" i="4"/>
  <c r="AK84" i="4" s="1"/>
  <c r="AG85" i="4"/>
  <c r="AH75" i="4"/>
  <c r="AK75" i="4" s="1"/>
  <c r="AI86" i="4"/>
  <c r="AK86" i="4" s="1"/>
  <c r="AG7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tc={D58F40F3-A695-4B76-95B6-104D55E88D40}</author>
  </authors>
  <commentList>
    <comment ref="B7" authorId="0" shapeId="0" xr:uid="{D58F40F3-A695-4B76-95B6-104D55E88D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weird
Reply:
    Looks like I may have types 28.38 instead of 20.38
Reply:
    Ok sounds good, changed the dt column to reflect change</t>
      </text>
    </comment>
  </commentList>
</comments>
</file>

<file path=xl/sharedStrings.xml><?xml version="1.0" encoding="utf-8"?>
<sst xmlns="http://schemas.openxmlformats.org/spreadsheetml/2006/main" count="788" uniqueCount="268">
  <si>
    <t>RPM</t>
  </si>
  <si>
    <t>(rattling noise)</t>
  </si>
  <si>
    <t>Be sure to note units!</t>
  </si>
  <si>
    <t>Trial 1</t>
  </si>
  <si>
    <t>Trial 2</t>
  </si>
  <si>
    <t>Trial 3</t>
  </si>
  <si>
    <t>Average</t>
  </si>
  <si>
    <t>Std dev</t>
  </si>
  <si>
    <t>Measured flowrate 1</t>
  </si>
  <si>
    <t>Find error information for flowmeters and stopwatch</t>
  </si>
  <si>
    <t>Before pump pressure 1</t>
  </si>
  <si>
    <t>dH pressure meters (in)</t>
  </si>
  <si>
    <t>After pump pressure 1</t>
  </si>
  <si>
    <t>avg</t>
  </si>
  <si>
    <t>Voltage 1 (V)</t>
  </si>
  <si>
    <t>Current 1 (A)</t>
  </si>
  <si>
    <t>Measured flowrate 2</t>
  </si>
  <si>
    <t>Before pump pressure 2</t>
  </si>
  <si>
    <t>before pump pressure inHg</t>
  </si>
  <si>
    <t>After pump pressure 2</t>
  </si>
  <si>
    <t>after pump pressure kPa</t>
  </si>
  <si>
    <t>Voltage 2 (V)</t>
  </si>
  <si>
    <t>Current 2 (A)</t>
  </si>
  <si>
    <t>positive pressures are psi</t>
  </si>
  <si>
    <t>negative pressures inHg</t>
  </si>
  <si>
    <t>Measured flowrate 3</t>
  </si>
  <si>
    <t>Before pump pressure 3</t>
  </si>
  <si>
    <t>at 3000 rpm, oscillation behavior begins @ 35 gpm</t>
  </si>
  <si>
    <t>After pump pressure 3</t>
  </si>
  <si>
    <t>at 2250 rpm @37 gpm</t>
  </si>
  <si>
    <t>Voltage 3 (V)</t>
  </si>
  <si>
    <t>Current 3 (A)</t>
  </si>
  <si>
    <t>Measured flowrate 4</t>
  </si>
  <si>
    <t>Before pump pressure 4</t>
  </si>
  <si>
    <t>After pump pressure 4</t>
  </si>
  <si>
    <t>Voltage 4 (V)</t>
  </si>
  <si>
    <t>Current 4 (A)</t>
  </si>
  <si>
    <t>Measured flowrate 5</t>
  </si>
  <si>
    <t>Before pump pressure 5</t>
  </si>
  <si>
    <t>After pump pressure 5</t>
  </si>
  <si>
    <t>Voltage 5 (V)</t>
  </si>
  <si>
    <t>Current 5 (A)</t>
  </si>
  <si>
    <t>Actual flowrate is based off of calibration, and needs to be manually updated</t>
  </si>
  <si>
    <t>Actual flowrate 1 (L/s)</t>
  </si>
  <si>
    <t>Actual flowrate 1</t>
  </si>
  <si>
    <t>Actual flowrate 2 (L/s)</t>
  </si>
  <si>
    <t>Actual flowrate 2</t>
  </si>
  <si>
    <t>Actual flowrate 3 (L/s)</t>
  </si>
  <si>
    <t>Actual flowrate 3</t>
  </si>
  <si>
    <t>Actual flowrate 4 (L/s)</t>
  </si>
  <si>
    <t>Actual flowrate 4</t>
  </si>
  <si>
    <t>Actual flowrate 5 (L/s)</t>
  </si>
  <si>
    <t>Actual flowrate 5</t>
  </si>
  <si>
    <r>
      <t>Need to add ρ</t>
    </r>
    <r>
      <rPr>
        <sz val="14.05"/>
        <color theme="0"/>
        <rFont val="Times New Roman"/>
        <family val="1"/>
      </rPr>
      <t>gh</t>
    </r>
  </si>
  <si>
    <t>Head pressure 1</t>
  </si>
  <si>
    <t>Head pressure 2</t>
  </si>
  <si>
    <t>Head pressure 3</t>
  </si>
  <si>
    <t>Head pressure 4</t>
  </si>
  <si>
    <t>Head pressure 5</t>
  </si>
  <si>
    <r>
      <t>Power in 1 (F</t>
    </r>
    <r>
      <rPr>
        <vertAlign val="subscript"/>
        <sz val="12"/>
        <color theme="0" tint="-0.499984740745262"/>
        <rFont val="Times New Roman"/>
        <family val="1"/>
      </rPr>
      <t>P</t>
    </r>
    <r>
      <rPr>
        <sz val="12"/>
        <color theme="0" tint="-0.499984740745262"/>
        <rFont val="Times New Roman"/>
        <family val="1"/>
      </rPr>
      <t xml:space="preserve"> * sqrt(3)IV)</t>
    </r>
  </si>
  <si>
    <t>Power fluid 1 (Q*ΔP)</t>
  </si>
  <si>
    <r>
      <t>Power in 2 (F</t>
    </r>
    <r>
      <rPr>
        <vertAlign val="subscript"/>
        <sz val="12"/>
        <color theme="0" tint="-0.499984740745262"/>
        <rFont val="Times New Roman"/>
        <family val="1"/>
      </rPr>
      <t>P</t>
    </r>
    <r>
      <rPr>
        <sz val="12"/>
        <color theme="0" tint="-0.499984740745262"/>
        <rFont val="Times New Roman"/>
        <family val="1"/>
      </rPr>
      <t xml:space="preserve"> * sqrt(3)IV)</t>
    </r>
  </si>
  <si>
    <t>Power fluid 2 (Q*ΔP)</t>
  </si>
  <si>
    <r>
      <t>Power in 3 (F</t>
    </r>
    <r>
      <rPr>
        <vertAlign val="subscript"/>
        <sz val="12"/>
        <color theme="0" tint="-0.499984740745262"/>
        <rFont val="Times New Roman"/>
        <family val="1"/>
      </rPr>
      <t>P</t>
    </r>
    <r>
      <rPr>
        <sz val="12"/>
        <color theme="0" tint="-0.499984740745262"/>
        <rFont val="Times New Roman"/>
        <family val="1"/>
      </rPr>
      <t xml:space="preserve"> * sqrt(3)IV)</t>
    </r>
  </si>
  <si>
    <t>Power fluid 3 (Q*ΔP)</t>
  </si>
  <si>
    <r>
      <t>Power in 4 (F</t>
    </r>
    <r>
      <rPr>
        <vertAlign val="subscript"/>
        <sz val="12"/>
        <color theme="0" tint="-0.499984740745262"/>
        <rFont val="Times New Roman"/>
        <family val="1"/>
      </rPr>
      <t>P</t>
    </r>
    <r>
      <rPr>
        <sz val="12"/>
        <color theme="0" tint="-0.499984740745262"/>
        <rFont val="Times New Roman"/>
        <family val="1"/>
      </rPr>
      <t xml:space="preserve"> * sqrt(3)IV)</t>
    </r>
  </si>
  <si>
    <t>Power fluid 4 (Q*ΔP)</t>
  </si>
  <si>
    <r>
      <t>Power in 5 (F</t>
    </r>
    <r>
      <rPr>
        <vertAlign val="subscript"/>
        <sz val="12"/>
        <color theme="0" tint="-0.499984740745262"/>
        <rFont val="Times New Roman"/>
        <family val="1"/>
      </rPr>
      <t>P</t>
    </r>
    <r>
      <rPr>
        <sz val="12"/>
        <color theme="0" tint="-0.499984740745262"/>
        <rFont val="Times New Roman"/>
        <family val="1"/>
      </rPr>
      <t xml:space="preserve"> * sqrt(3)IV)</t>
    </r>
  </si>
  <si>
    <t>Power fluid 5 (Q*ΔP)</t>
  </si>
  <si>
    <t>Efficiency (power out/in) 1</t>
  </si>
  <si>
    <t>Efficiency (power out/in) 2</t>
  </si>
  <si>
    <t>Efficiency (power out/in) 3</t>
  </si>
  <si>
    <t>Efficiency (power out/in) 4</t>
  </si>
  <si>
    <t>Efficiency (power out/in) 5</t>
  </si>
  <si>
    <t>lb/s to L/s conv</t>
  </si>
  <si>
    <t>Calibration Curve:</t>
  </si>
  <si>
    <t>Trial 1 (lb/s)</t>
  </si>
  <si>
    <t>Trial 2 (lb/s)</t>
  </si>
  <si>
    <t xml:space="preserve"> Trial 3 (lb/s)</t>
  </si>
  <si>
    <t>Avg. (lb/s)</t>
  </si>
  <si>
    <t>St. Dev. (lb/s)</t>
  </si>
  <si>
    <t>Flowmeter min (gpm)</t>
  </si>
  <si>
    <t>Flowmeter max (gpm)</t>
  </si>
  <si>
    <t>Flowmeter avg (gpm)</t>
  </si>
  <si>
    <t>Error overall</t>
  </si>
  <si>
    <t>dt Trial 1 (s)</t>
  </si>
  <si>
    <t>dt Trial 2 (s)</t>
  </si>
  <si>
    <t>dt Trial 3 (s)</t>
  </si>
  <si>
    <t>m Error trial 1</t>
  </si>
  <si>
    <t>m Error trial 2</t>
  </si>
  <si>
    <t>m Error trial 3</t>
  </si>
  <si>
    <t>Partiy line</t>
  </si>
  <si>
    <t>max measurement error in calibration</t>
  </si>
  <si>
    <t>Error measurement</t>
  </si>
  <si>
    <t>scale</t>
  </si>
  <si>
    <t>stopwatch</t>
  </si>
  <si>
    <t>Error in calibration w/std dev lb/s</t>
  </si>
  <si>
    <t>from manual</t>
  </si>
  <si>
    <t>Error Analysis</t>
  </si>
  <si>
    <t>Head pressure error</t>
  </si>
  <si>
    <t>Error cali</t>
  </si>
  <si>
    <t>lb/s</t>
  </si>
  <si>
    <t>amps</t>
  </si>
  <si>
    <t>volts</t>
  </si>
  <si>
    <t>manual pressure</t>
  </si>
  <si>
    <t>digital pressure</t>
  </si>
  <si>
    <t>digital flowmeter (GPM)</t>
  </si>
  <si>
    <t>centrifugal</t>
  </si>
  <si>
    <t>Measured flowrate 1 (gpm)</t>
  </si>
  <si>
    <t>Error electrical power</t>
  </si>
  <si>
    <t>Error Fluid Power</t>
  </si>
  <si>
    <t xml:space="preserve">Error Efficiency </t>
  </si>
  <si>
    <t>Before pump pressure 1 (psi)</t>
  </si>
  <si>
    <t>Trial</t>
  </si>
  <si>
    <t xml:space="preserve">Actual </t>
  </si>
  <si>
    <t>Actual</t>
  </si>
  <si>
    <t>After pump pressure 1 (Kpa)</t>
  </si>
  <si>
    <t>avg (m)</t>
  </si>
  <si>
    <t>1500 flow 1</t>
  </si>
  <si>
    <t>1500 flow 2</t>
  </si>
  <si>
    <t>1500 flow 3</t>
  </si>
  <si>
    <t>1500 flow 4</t>
  </si>
  <si>
    <t>Measured flowrate 2 (gpm)</t>
  </si>
  <si>
    <t>1500 flow 5</t>
  </si>
  <si>
    <t>Before pump pressure 2 (psi)</t>
  </si>
  <si>
    <t>2250 flow 1</t>
  </si>
  <si>
    <t>After pump pressure 2 (Kpa)</t>
  </si>
  <si>
    <t>2250 flow 2</t>
  </si>
  <si>
    <t>2250 flow 3</t>
  </si>
  <si>
    <t>2250 flow 4</t>
  </si>
  <si>
    <t>p</t>
  </si>
  <si>
    <t>2250 flow 5</t>
  </si>
  <si>
    <t>Measured flowrate 3 (gpm)</t>
  </si>
  <si>
    <t>3000  flow 1</t>
  </si>
  <si>
    <t>Before pump pressure 3 (psi)</t>
  </si>
  <si>
    <t>3000 flow 2</t>
  </si>
  <si>
    <t>After pump pressure 3 (Kpa)</t>
  </si>
  <si>
    <t>3000 flow 3</t>
  </si>
  <si>
    <t>3000 flow 4</t>
  </si>
  <si>
    <t>3000 flow 5</t>
  </si>
  <si>
    <t>Error Flow rate</t>
  </si>
  <si>
    <t>m^3/s</t>
  </si>
  <si>
    <t>Measured flowrate 4 (gpm)</t>
  </si>
  <si>
    <t>Before pump pressure 4 (psi)</t>
  </si>
  <si>
    <t>After pump pressure 4 (Kpa)</t>
  </si>
  <si>
    <t>Density(kg/m^3)</t>
  </si>
  <si>
    <t>Gravity(m/s^2)</t>
  </si>
  <si>
    <t>Measured flowrate 5 (gpm)</t>
  </si>
  <si>
    <t>Before pump pressure 5 (psi)</t>
  </si>
  <si>
    <t>Before pump pressure 5  (psi)</t>
  </si>
  <si>
    <t>Pressure conversions:</t>
  </si>
  <si>
    <t>After pump pressure 5 (Kpa)</t>
  </si>
  <si>
    <t>psi</t>
  </si>
  <si>
    <t>Pa</t>
  </si>
  <si>
    <t>inHg</t>
  </si>
  <si>
    <t>Actual flowrate 1 (m^3/s)</t>
  </si>
  <si>
    <t>Actual flowrate 2 (m^3/s)</t>
  </si>
  <si>
    <t>Actual flowrate 3 (m^3/s)</t>
  </si>
  <si>
    <t>Actual flowrate 4 (m^3/s)</t>
  </si>
  <si>
    <t>Actual flowrate 5 (m^3/s)</t>
  </si>
  <si>
    <t>Head pressure 1 (Pa)</t>
  </si>
  <si>
    <t>Head pressure 2 (Pa)</t>
  </si>
  <si>
    <t>Head pressure 3 (Pa)</t>
  </si>
  <si>
    <t>Head pressure 4 (Pa)</t>
  </si>
  <si>
    <t>Head pressure 5 (Pa)</t>
  </si>
  <si>
    <t>Power in 1 (FP * sqrt(3)IV) (W)</t>
  </si>
  <si>
    <t>Power fluid 1 (Q*ΔP) (W)</t>
  </si>
  <si>
    <t>Power in 2 (FP * sqrt(3)IV) (W)</t>
  </si>
  <si>
    <t>Power fluid 2 (Q*ΔP) (W)</t>
  </si>
  <si>
    <t>Power in 3 (FP * sqrt(3)IV) (W)</t>
  </si>
  <si>
    <t>Power fluid 3 (Q*ΔP) (W)</t>
  </si>
  <si>
    <t>Power in 4 (FP * sqrt(3)IV) (W)</t>
  </si>
  <si>
    <t>Power fluid 4 (Q*ΔP) (W)</t>
  </si>
  <si>
    <t>Power in 5 (FP * sqrt(3)IV) (W)</t>
  </si>
  <si>
    <t>Power fluid 5 (Q*ΔP) (W)</t>
  </si>
  <si>
    <t>lb/s to m^3/s conv</t>
  </si>
  <si>
    <t>Flowrates</t>
  </si>
  <si>
    <t>Efficiency</t>
  </si>
  <si>
    <t>PA conv</t>
  </si>
  <si>
    <t>kPA</t>
  </si>
  <si>
    <t>PSI</t>
  </si>
  <si>
    <t>Error</t>
  </si>
  <si>
    <t>(+/-)</t>
  </si>
  <si>
    <t>FP Meter (SCFM)</t>
  </si>
  <si>
    <t>CalFlo meter (gpm)</t>
  </si>
  <si>
    <t>Avg. (gpm stopwatch bucket)</t>
  </si>
  <si>
    <t>Parity line</t>
  </si>
  <si>
    <t>NAN</t>
  </si>
  <si>
    <t>N/A</t>
  </si>
  <si>
    <t>Error for first row can't be found because time data was missing, acceptable because in this case error scales with larger flows</t>
  </si>
  <si>
    <t>max error measurement</t>
  </si>
  <si>
    <t>Error Calibration w/std dev lb/s</t>
  </si>
  <si>
    <t xml:space="preserve">Error Calibration w/std GPM </t>
  </si>
  <si>
    <t>test b&amp;s</t>
  </si>
  <si>
    <t>3x average dH between pressure gauges</t>
  </si>
  <si>
    <t>inches</t>
  </si>
  <si>
    <t>m</t>
  </si>
  <si>
    <t>Flowrate FP 1  (SCFM)</t>
  </si>
  <si>
    <t>Flowrate CalFlo 1 (gpm)</t>
  </si>
  <si>
    <t>Didn't go below 500rpm because voltage reading was bottomed out</t>
  </si>
  <si>
    <t>After pump pressure 1 (psi)</t>
  </si>
  <si>
    <t>Didn't go above 1135rpm because that was the documented maximum</t>
  </si>
  <si>
    <t>Flowrate FP 2  (SCFM)</t>
  </si>
  <si>
    <t>MAX</t>
  </si>
  <si>
    <t>Flowrate CalFlo 2 (gpm)</t>
  </si>
  <si>
    <t>After pump pressure 2 (psi)</t>
  </si>
  <si>
    <t>Flowrate FP 3  (SCFM)</t>
  </si>
  <si>
    <t>Flowrate FP 3 (SCFM)</t>
  </si>
  <si>
    <t>Flowrate CalFlo 3 (gpm)</t>
  </si>
  <si>
    <t>After pump pressure 3 (psi)</t>
  </si>
  <si>
    <t>Flowrate FP 4  (SCFM)</t>
  </si>
  <si>
    <t>Flowrate CalFlo 4 (gpm)</t>
  </si>
  <si>
    <t>After pump pressure 4 (psi)</t>
  </si>
  <si>
    <t>Flowrate FP 5  (SCFM)</t>
  </si>
  <si>
    <t>Flowrate CalFlo 5 (gpm)</t>
  </si>
  <si>
    <t>After pump pressure 5(psi)</t>
  </si>
  <si>
    <t>After pump pressure 5 (psi)</t>
  </si>
  <si>
    <t>Error -CIs</t>
    <phoneticPr fontId="10" type="noConversion"/>
  </si>
  <si>
    <t>503RPM</t>
    <phoneticPr fontId="10" type="noConversion"/>
  </si>
  <si>
    <t>754RPM</t>
    <phoneticPr fontId="10" type="noConversion"/>
  </si>
  <si>
    <t>1095RPM</t>
    <phoneticPr fontId="10" type="noConversion"/>
  </si>
  <si>
    <t>Actual flowrate FP 1 (m^3/s)</t>
  </si>
  <si>
    <t>Actual flowrate FP 2 (m^3/s)</t>
  </si>
  <si>
    <t>Actual flowrate Calflo 2 (m^3/s)</t>
  </si>
  <si>
    <t>CalFlow</t>
  </si>
  <si>
    <t>0.664x</t>
  </si>
  <si>
    <t>Actual flowrate FP 3 (m^3/s)</t>
  </si>
  <si>
    <t>Actual flowrate Calflo 3 (m^3/s)</t>
  </si>
  <si>
    <t>FP</t>
  </si>
  <si>
    <t>0.4871x</t>
  </si>
  <si>
    <t>Actual flowrate FP 4 (m^3/s)</t>
  </si>
  <si>
    <t>Actual flowrate Calflo 4 (m^3/s)</t>
  </si>
  <si>
    <t>Actual flowrate FP 5 (m^3/s)</t>
  </si>
  <si>
    <t>Actual flowrate Calflo 5 (m^3/s)</t>
  </si>
  <si>
    <t>Pa conv</t>
  </si>
  <si>
    <t>calflo gpm</t>
  </si>
  <si>
    <t>FP gpm</t>
  </si>
  <si>
    <t>top pressure</t>
  </si>
  <si>
    <t>bottom pressure</t>
  </si>
  <si>
    <t>pdp</t>
  </si>
  <si>
    <t>&lt;-- manufacturer</t>
  </si>
  <si>
    <t>Calflow</t>
  </si>
  <si>
    <t>FP meter</t>
  </si>
  <si>
    <t>Assume larger error for both, since it's pretty similar</t>
  </si>
  <si>
    <t>gpm to m^3/s conv</t>
  </si>
  <si>
    <t>Error Head Pressure</t>
  </si>
  <si>
    <t>PA</t>
  </si>
  <si>
    <t>Height change pressure  addition</t>
  </si>
  <si>
    <t>Flowrate</t>
  </si>
  <si>
    <t>(plus/minus)</t>
  </si>
  <si>
    <t>measuring tape</t>
  </si>
  <si>
    <t>digital flowmeter</t>
  </si>
  <si>
    <t>3 gpm</t>
  </si>
  <si>
    <t>calflo</t>
  </si>
  <si>
    <t>1.25 gpm</t>
  </si>
  <si>
    <t>1 gpm</t>
  </si>
  <si>
    <t>&lt;-- our data</t>
  </si>
  <si>
    <t>Actual flowrate 1 (CalFlo) (gpm)</t>
  </si>
  <si>
    <t>Actual flowrate 2 (CalFlo) (gpm)</t>
  </si>
  <si>
    <t>Actual flowrate 1 (CalFlo) (m^3/s)</t>
  </si>
  <si>
    <t>Actual flowrate 2 (CalFlo) (m^3/s)</t>
  </si>
  <si>
    <t>Power fluid 1 (W)</t>
  </si>
  <si>
    <t>Power fluid 2 (W)</t>
  </si>
  <si>
    <t>Power electrical 1</t>
  </si>
  <si>
    <t>Power electrical 2</t>
  </si>
  <si>
    <t>Efficiency 1</t>
  </si>
  <si>
    <t>&lt;-- Yay! Real values!!!!</t>
  </si>
  <si>
    <t>Efficiency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</si>
</sst>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"/>
    <numFmt numFmtId="166" formatCode="0.00000"/>
    <numFmt numFmtId="167" formatCode="0.0000000000E+00"/>
    <numFmt numFmtId="168" formatCode="0.000E+00"/>
  </numFmts>
  <fonts count="11">
    <font>
      <sz val="12"/>
      <color theme="1"/>
      <name val="Times New Roman"/>
      <family val="2"/>
    </font>
    <font>
      <sz val="12"/>
      <color theme="1"/>
      <name val="Times New Roman"/>
      <family val="1"/>
    </font>
    <font>
      <vertAlign val="subscript"/>
      <sz val="12"/>
      <color theme="0" tint="-0.499984740745262"/>
      <name val="Times New Roman"/>
      <family val="1"/>
    </font>
    <font>
      <sz val="12"/>
      <color theme="0" tint="-0.499984740745262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2"/>
    </font>
    <font>
      <sz val="12"/>
      <color theme="0"/>
      <name val="Times New Roman"/>
      <family val="2"/>
    </font>
    <font>
      <sz val="14.05"/>
      <color theme="0"/>
      <name val="Times New Roman"/>
      <family val="1"/>
    </font>
    <font>
      <sz val="12"/>
      <color theme="0"/>
      <name val="Times New Roman"/>
      <family val="1"/>
    </font>
    <font>
      <sz val="12"/>
      <color theme="0" tint="-0.249977111117893"/>
      <name val="Times New Roman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0" fillId="0" borderId="0" xfId="0" applyNumberFormat="1"/>
    <xf numFmtId="0" fontId="4" fillId="0" borderId="0" xfId="0" applyFont="1"/>
    <xf numFmtId="0" fontId="0" fillId="2" borderId="0" xfId="0" applyFill="1"/>
    <xf numFmtId="0" fontId="4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4" borderId="0" xfId="0" applyFont="1" applyFill="1"/>
    <xf numFmtId="0" fontId="6" fillId="4" borderId="0" xfId="0" applyFont="1" applyFill="1"/>
    <xf numFmtId="165" fontId="0" fillId="0" borderId="0" xfId="0" applyNumberFormat="1"/>
    <xf numFmtId="0" fontId="8" fillId="4" borderId="0" xfId="0" applyFont="1" applyFill="1"/>
    <xf numFmtId="0" fontId="9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6" fontId="0" fillId="0" borderId="0" xfId="0" applyNumberFormat="1"/>
    <xf numFmtId="0" fontId="0" fillId="0" borderId="10" xfId="0" applyBorder="1"/>
    <xf numFmtId="0" fontId="0" fillId="0" borderId="11" xfId="0" applyBorder="1"/>
    <xf numFmtId="167" fontId="0" fillId="0" borderId="0" xfId="0" applyNumberFormat="1"/>
    <xf numFmtId="0" fontId="8" fillId="0" borderId="0" xfId="0" applyFont="1"/>
    <xf numFmtId="168" fontId="0" fillId="0" borderId="0" xfId="0" applyNumberFormat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Flowmeter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581443209591508E-2"/>
                  <c:y val="-0.113390904166081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fixedVal"/>
            <c:noEndCap val="0"/>
            <c:val val="0.1546900000000000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'CP Calibration'!$I$2:$I$10</c:f>
              <c:numCache>
                <c:formatCode>General</c:formatCode>
                <c:ptCount val="9"/>
                <c:pt idx="0">
                  <c:v>17.8</c:v>
                </c:pt>
                <c:pt idx="1">
                  <c:v>20.100000000000001</c:v>
                </c:pt>
                <c:pt idx="2">
                  <c:v>14.55</c:v>
                </c:pt>
                <c:pt idx="3">
                  <c:v>11.55</c:v>
                </c:pt>
                <c:pt idx="4">
                  <c:v>26.549999999999997</c:v>
                </c:pt>
                <c:pt idx="5">
                  <c:v>29.55</c:v>
                </c:pt>
                <c:pt idx="6">
                  <c:v>7</c:v>
                </c:pt>
                <c:pt idx="7">
                  <c:v>69.25</c:v>
                </c:pt>
              </c:numCache>
            </c:numRef>
          </c:xVal>
          <c:yVal>
            <c:numRef>
              <c:f>'CP Calibration'!$E$2:$E$10</c:f>
              <c:numCache>
                <c:formatCode>0.0000</c:formatCode>
                <c:ptCount val="9"/>
                <c:pt idx="0">
                  <c:v>3.6876865478303511</c:v>
                </c:pt>
                <c:pt idx="1">
                  <c:v>4.1594852538425577</c:v>
                </c:pt>
                <c:pt idx="2">
                  <c:v>2.9245236427363732</c:v>
                </c:pt>
                <c:pt idx="3">
                  <c:v>2.3180638481649338</c:v>
                </c:pt>
                <c:pt idx="4">
                  <c:v>5.4640061162424018</c:v>
                </c:pt>
                <c:pt idx="5">
                  <c:v>6.0260873379603064</c:v>
                </c:pt>
                <c:pt idx="6">
                  <c:v>1.3652806706712208</c:v>
                </c:pt>
                <c:pt idx="7" formatCode="General">
                  <c:v>13.194329019889766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7C-4C2D-A187-E3B9A325563D}"/>
            </c:ext>
          </c:extLst>
        </c:ser>
        <c:ser>
          <c:idx val="1"/>
          <c:order val="1"/>
          <c:tx>
            <c:v>Parity line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'CP Calibration'!$R$2:$R$3</c:f>
              <c:numCache>
                <c:formatCode>General</c:formatCode>
                <c:ptCount val="2"/>
                <c:pt idx="0">
                  <c:v>0</c:v>
                </c:pt>
                <c:pt idx="1">
                  <c:v>70</c:v>
                </c:pt>
              </c:numCache>
            </c:numRef>
          </c:xVal>
          <c:yVal>
            <c:numRef>
              <c:f>'CP Calibration'!$R$2:$R$3</c:f>
              <c:numCache>
                <c:formatCode>General</c:formatCode>
                <c:ptCount val="2"/>
                <c:pt idx="0">
                  <c:v>0</c:v>
                </c:pt>
                <c:pt idx="1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7C-4C2D-A187-E3B9A3255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662240"/>
        <c:axId val="1468662720"/>
      </c:scatterChart>
      <c:valAx>
        <c:axId val="1468662240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Flowmeter Measurements (GPM)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68662720"/>
        <c:crosses val="autoZero"/>
        <c:crossBetween val="midCat"/>
        <c:majorUnit val="10"/>
      </c:valAx>
      <c:valAx>
        <c:axId val="1468662720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Stopwatch &amp; Bucket Flowrate (lb/s)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68662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v>1500 RPM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bg2">
                  <a:lumMod val="75000"/>
                </a:schemeClr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3.8076290000000013E-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3483.4528789999999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'CP Data New'!$E$33:$E$37</c:f>
              <c:numCache>
                <c:formatCode>General</c:formatCode>
                <c:ptCount val="5"/>
                <c:pt idx="0">
                  <c:v>2.7546447600000005E-3</c:v>
                </c:pt>
                <c:pt idx="1">
                  <c:v>2.2833770400000003E-3</c:v>
                </c:pt>
                <c:pt idx="2">
                  <c:v>1.9577738880000002E-3</c:v>
                </c:pt>
                <c:pt idx="3">
                  <c:v>1.535061024E-3</c:v>
                </c:pt>
                <c:pt idx="4">
                  <c:v>1.003813776E-3</c:v>
                </c:pt>
              </c:numCache>
            </c:numRef>
          </c:xVal>
          <c:yVal>
            <c:numRef>
              <c:f>'CP Data New'!$E$39:$E$43</c:f>
              <c:numCache>
                <c:formatCode>General</c:formatCode>
                <c:ptCount val="5"/>
                <c:pt idx="0">
                  <c:v>20579.413294514859</c:v>
                </c:pt>
                <c:pt idx="1">
                  <c:v>26246.079961181527</c:v>
                </c:pt>
                <c:pt idx="2">
                  <c:v>25718.001294514859</c:v>
                </c:pt>
                <c:pt idx="3">
                  <c:v>29465.366627848194</c:v>
                </c:pt>
                <c:pt idx="4">
                  <c:v>32879.39862784819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6B-456B-887A-A5801F133692}"/>
            </c:ext>
          </c:extLst>
        </c:ser>
        <c:ser>
          <c:idx val="0"/>
          <c:order val="1"/>
          <c:tx>
            <c:v>2250 RPM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3.8076290000000013E-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3483.4528789999999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'CP Data New'!$L$33:$L$37</c:f>
              <c:numCache>
                <c:formatCode>General</c:formatCode>
                <c:ptCount val="5"/>
                <c:pt idx="0">
                  <c:v>4.356955008E-3</c:v>
                </c:pt>
                <c:pt idx="1">
                  <c:v>3.5486594640000008E-3</c:v>
                </c:pt>
                <c:pt idx="2">
                  <c:v>3.0859602479999999E-3</c:v>
                </c:pt>
                <c:pt idx="3">
                  <c:v>2.3947675920000001E-3</c:v>
                </c:pt>
                <c:pt idx="4">
                  <c:v>1.5836158800000002E-3</c:v>
                </c:pt>
              </c:numCache>
            </c:numRef>
          </c:xVal>
          <c:yVal>
            <c:numRef>
              <c:f>'CP Data New'!$L$39:$L$43</c:f>
              <c:numCache>
                <c:formatCode>General</c:formatCode>
                <c:ptCount val="5"/>
                <c:pt idx="0">
                  <c:v>42405.249961181522</c:v>
                </c:pt>
                <c:pt idx="1">
                  <c:v>50325.664961181523</c:v>
                </c:pt>
                <c:pt idx="2">
                  <c:v>54180.951294514853</c:v>
                </c:pt>
                <c:pt idx="3">
                  <c:v>61246.079961181524</c:v>
                </c:pt>
                <c:pt idx="4">
                  <c:v>68132.033294514855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6B-456B-887A-A5801F133692}"/>
            </c:ext>
          </c:extLst>
        </c:ser>
        <c:ser>
          <c:idx val="1"/>
          <c:order val="2"/>
          <c:tx>
            <c:v>3000 RPM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3.8076290000000013E-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3483.4528789999999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'CP Data New'!$S$33:$S$37</c:f>
              <c:numCache>
                <c:formatCode>General</c:formatCode>
                <c:ptCount val="5"/>
                <c:pt idx="0">
                  <c:v>5.8792925519999999E-3</c:v>
                </c:pt>
                <c:pt idx="1">
                  <c:v>4.8167980560000004E-3</c:v>
                </c:pt>
                <c:pt idx="2">
                  <c:v>4.2027219360000001E-3</c:v>
                </c:pt>
                <c:pt idx="3">
                  <c:v>3.2487618239999999E-3</c:v>
                </c:pt>
                <c:pt idx="4">
                  <c:v>2.1634179840000003E-3</c:v>
                </c:pt>
              </c:numCache>
            </c:numRef>
          </c:xVal>
          <c:yVal>
            <c:numRef>
              <c:f>'CP Data New'!$S$39:$S$43</c:f>
              <c:numCache>
                <c:formatCode>General</c:formatCode>
                <c:ptCount val="5"/>
                <c:pt idx="0">
                  <c:v>67924.281627848206</c:v>
                </c:pt>
                <c:pt idx="1">
                  <c:v>84909.825294514871</c:v>
                </c:pt>
                <c:pt idx="2">
                  <c:v>93625.703627848197</c:v>
                </c:pt>
                <c:pt idx="3">
                  <c:v>103965.80329451487</c:v>
                </c:pt>
                <c:pt idx="4">
                  <c:v>118786.42929451486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6B-456B-887A-A5801F133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9015840"/>
        <c:axId val="2009016320"/>
      </c:scatterChart>
      <c:valAx>
        <c:axId val="200901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Flowrate (m</a:t>
                </a:r>
                <a:r>
                  <a:rPr lang="en-US" b="1" baseline="30000"/>
                  <a:t>3</a:t>
                </a:r>
                <a:r>
                  <a:rPr lang="en-US" b="1"/>
                  <a:t>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09016320"/>
        <c:crosses val="autoZero"/>
        <c:crossBetween val="midCat"/>
      </c:valAx>
      <c:valAx>
        <c:axId val="200901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Head pressure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09015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1500 RPM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bg2">
                  <a:lumMod val="75000"/>
                </a:schemeClr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3.8076290000000013E-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'CP Data New'!$AN$5:$AN$9</c:f>
                <c:numCache>
                  <c:formatCode>General</c:formatCode>
                  <c:ptCount val="5"/>
                  <c:pt idx="0">
                    <c:v>3.7724828619782418E-4</c:v>
                  </c:pt>
                  <c:pt idx="1">
                    <c:v>1.3934322048991427E-4</c:v>
                  </c:pt>
                  <c:pt idx="2">
                    <c:v>1.959441538225735E-4</c:v>
                  </c:pt>
                  <c:pt idx="3">
                    <c:v>2.1295884341047049E-4</c:v>
                  </c:pt>
                  <c:pt idx="4">
                    <c:v>3.7449562323363795E-4</c:v>
                  </c:pt>
                </c:numCache>
              </c:numRef>
            </c:plus>
            <c:minus>
              <c:numRef>
                <c:f>'CP Data New'!$AN$5:$AN$9</c:f>
                <c:numCache>
                  <c:formatCode>General</c:formatCode>
                  <c:ptCount val="5"/>
                  <c:pt idx="0">
                    <c:v>3.7724828619782418E-4</c:v>
                  </c:pt>
                  <c:pt idx="1">
                    <c:v>1.3934322048991427E-4</c:v>
                  </c:pt>
                  <c:pt idx="2">
                    <c:v>1.959441538225735E-4</c:v>
                  </c:pt>
                  <c:pt idx="3">
                    <c:v>2.1295884341047049E-4</c:v>
                  </c:pt>
                  <c:pt idx="4">
                    <c:v>3.7449562323363795E-4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'CP Data New'!$Q$65:$Q$69</c:f>
              <c:numCache>
                <c:formatCode>General</c:formatCode>
                <c:ptCount val="5"/>
                <c:pt idx="0">
                  <c:v>2.7546447600000005E-3</c:v>
                </c:pt>
                <c:pt idx="1">
                  <c:v>2.2833770400000003E-3</c:v>
                </c:pt>
                <c:pt idx="2">
                  <c:v>1.9577738880000002E-3</c:v>
                </c:pt>
                <c:pt idx="3">
                  <c:v>1.535061024E-3</c:v>
                </c:pt>
                <c:pt idx="4">
                  <c:v>1.003813776E-3</c:v>
                </c:pt>
              </c:numCache>
            </c:numRef>
          </c:xVal>
          <c:yVal>
            <c:numRef>
              <c:f>'CP Data New'!$S$65:$S$69</c:f>
              <c:numCache>
                <c:formatCode>General</c:formatCode>
                <c:ptCount val="5"/>
                <c:pt idx="0">
                  <c:v>16.122675738040503</c:v>
                </c:pt>
                <c:pt idx="1">
                  <c:v>17.105636551039627</c:v>
                </c:pt>
                <c:pt idx="2">
                  <c:v>14.571230162599068</c:v>
                </c:pt>
                <c:pt idx="3">
                  <c:v>13.089553282965491</c:v>
                </c:pt>
                <c:pt idx="4">
                  <c:v>9.7250129791172917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10-4363-874B-2FE9EA2F4166}"/>
            </c:ext>
          </c:extLst>
        </c:ser>
        <c:ser>
          <c:idx val="1"/>
          <c:order val="1"/>
          <c:tx>
            <c:v>2250 RPM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3.8076290000000013E-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'CP Data New'!$AN$10:$AN$14</c:f>
                <c:numCache>
                  <c:formatCode>General</c:formatCode>
                  <c:ptCount val="5"/>
                  <c:pt idx="0">
                    <c:v>2.7088371891738981E-5</c:v>
                  </c:pt>
                  <c:pt idx="1">
                    <c:v>3.1302254962028913E-5</c:v>
                  </c:pt>
                  <c:pt idx="2">
                    <c:v>2.8082504737041398E-5</c:v>
                  </c:pt>
                  <c:pt idx="3">
                    <c:v>3.264467509759818E-5</c:v>
                  </c:pt>
                  <c:pt idx="4">
                    <c:v>1.058402749167994E-4</c:v>
                  </c:pt>
                </c:numCache>
              </c:numRef>
            </c:plus>
            <c:minus>
              <c:numRef>
                <c:f>'CP Data New'!$AN$10:$AN$14</c:f>
                <c:numCache>
                  <c:formatCode>General</c:formatCode>
                  <c:ptCount val="5"/>
                  <c:pt idx="0">
                    <c:v>2.7088371891738981E-5</c:v>
                  </c:pt>
                  <c:pt idx="1">
                    <c:v>3.1302254962028913E-5</c:v>
                  </c:pt>
                  <c:pt idx="2">
                    <c:v>2.8082504737041398E-5</c:v>
                  </c:pt>
                  <c:pt idx="3">
                    <c:v>3.264467509759818E-5</c:v>
                  </c:pt>
                  <c:pt idx="4">
                    <c:v>1.058402749167994E-4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'CP Data New'!$Q$70:$Q$74</c:f>
              <c:numCache>
                <c:formatCode>General</c:formatCode>
                <c:ptCount val="5"/>
                <c:pt idx="0">
                  <c:v>4.356955008E-3</c:v>
                </c:pt>
                <c:pt idx="1">
                  <c:v>3.5486594640000008E-3</c:v>
                </c:pt>
                <c:pt idx="2">
                  <c:v>3.0859602479999999E-3</c:v>
                </c:pt>
                <c:pt idx="3">
                  <c:v>2.3947675920000001E-3</c:v>
                </c:pt>
                <c:pt idx="4">
                  <c:v>1.5836158800000002E-3</c:v>
                </c:pt>
              </c:numCache>
            </c:numRef>
          </c:xVal>
          <c:yVal>
            <c:numRef>
              <c:f>'CP Data New'!$S$70:$S$74</c:f>
              <c:numCache>
                <c:formatCode>General</c:formatCode>
                <c:ptCount val="5"/>
                <c:pt idx="0">
                  <c:v>24.807273513235661</c:v>
                </c:pt>
                <c:pt idx="1">
                  <c:v>24.812317580907308</c:v>
                </c:pt>
                <c:pt idx="2">
                  <c:v>23.71698222739105</c:v>
                </c:pt>
                <c:pt idx="3">
                  <c:v>22.173353640397394</c:v>
                </c:pt>
                <c:pt idx="4">
                  <c:v>17.090339981766846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10-4363-874B-2FE9EA2F4166}"/>
            </c:ext>
          </c:extLst>
        </c:ser>
        <c:ser>
          <c:idx val="2"/>
          <c:order val="2"/>
          <c:tx>
            <c:v>3000 RPM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3.8076929000000014E-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'CP Data New'!$AN$15:$AN$19</c:f>
                <c:numCache>
                  <c:formatCode>General</c:formatCode>
                  <c:ptCount val="5"/>
                  <c:pt idx="0">
                    <c:v>8.509057644147801E-6</c:v>
                  </c:pt>
                  <c:pt idx="1">
                    <c:v>7.4693098111356607E-6</c:v>
                  </c:pt>
                  <c:pt idx="2">
                    <c:v>6.5293943749845477E-6</c:v>
                  </c:pt>
                  <c:pt idx="3">
                    <c:v>1.4520238180259485E-5</c:v>
                  </c:pt>
                  <c:pt idx="4">
                    <c:v>3.0660644141128126E-5</c:v>
                  </c:pt>
                </c:numCache>
              </c:numRef>
            </c:plus>
            <c:minus>
              <c:numRef>
                <c:f>'CP Data New'!$AN$15:$AN$19</c:f>
                <c:numCache>
                  <c:formatCode>General</c:formatCode>
                  <c:ptCount val="5"/>
                  <c:pt idx="0">
                    <c:v>8.509057644147801E-6</c:v>
                  </c:pt>
                  <c:pt idx="1">
                    <c:v>7.4693098111356607E-6</c:v>
                  </c:pt>
                  <c:pt idx="2">
                    <c:v>6.5293943749845477E-6</c:v>
                  </c:pt>
                  <c:pt idx="3">
                    <c:v>1.4520238180259485E-5</c:v>
                  </c:pt>
                  <c:pt idx="4">
                    <c:v>3.0660644141128126E-5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'CP Data New'!$Q$75:$Q$79</c:f>
              <c:numCache>
                <c:formatCode>General</c:formatCode>
                <c:ptCount val="5"/>
                <c:pt idx="0">
                  <c:v>5.8792925519999999E-3</c:v>
                </c:pt>
                <c:pt idx="1">
                  <c:v>4.8167980560000004E-3</c:v>
                </c:pt>
                <c:pt idx="2">
                  <c:v>4.2027219360000001E-3</c:v>
                </c:pt>
                <c:pt idx="3">
                  <c:v>3.2487618239999999E-3</c:v>
                </c:pt>
                <c:pt idx="4">
                  <c:v>2.1634179840000003E-3</c:v>
                </c:pt>
              </c:numCache>
            </c:numRef>
          </c:xVal>
          <c:yVal>
            <c:numRef>
              <c:f>'CP Data New'!$S$75:$S$79</c:f>
              <c:numCache>
                <c:formatCode>General</c:formatCode>
                <c:ptCount val="5"/>
                <c:pt idx="0">
                  <c:v>28.625354260698611</c:v>
                </c:pt>
                <c:pt idx="1">
                  <c:v>30.496207291872363</c:v>
                </c:pt>
                <c:pt idx="2">
                  <c:v>30.386823720791739</c:v>
                </c:pt>
                <c:pt idx="3">
                  <c:v>28.481367688627191</c:v>
                </c:pt>
                <c:pt idx="4">
                  <c:v>23.02411518536713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10-4363-874B-2FE9EA2F4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092031"/>
        <c:axId val="438093471"/>
      </c:scatterChart>
      <c:valAx>
        <c:axId val="438092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Flowrate (m</a:t>
                </a:r>
                <a:r>
                  <a:rPr lang="en-US" b="1" baseline="30000"/>
                  <a:t>3</a:t>
                </a:r>
                <a:r>
                  <a:rPr lang="en-US" b="1"/>
                  <a:t>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8093471"/>
        <c:crosses val="autoZero"/>
        <c:crossBetween val="midCat"/>
      </c:valAx>
      <c:valAx>
        <c:axId val="43809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8092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CalFlo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784339457567804"/>
                  <c:y val="-4.25809273840769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0" i="0" u="none" strike="noStrike" kern="1200" baseline="0">
                        <a:solidFill>
                          <a:schemeClr val="tx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/>
                      <a:t>CalFlo Meter:</a:t>
                    </a:r>
                  </a:p>
                  <a:p>
                    <a:pPr>
                      <a:defRPr/>
                    </a:pPr>
                    <a:r>
                      <a:rPr lang="en-US"/>
                      <a:t>y = 0.7502x + 1.7039</a:t>
                    </a:r>
                    <a:br>
                      <a:rPr lang="en-US"/>
                    </a:br>
                    <a:r>
                      <a:rPr lang="en-US"/>
                      <a:t>R² = 0.9855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fixedVal"/>
            <c:noEndCap val="0"/>
            <c:val val="0.1123720000000000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1.2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'PDP Calibration'!$H$2:$H$7</c:f>
              <c:numCache>
                <c:formatCode>General</c:formatCode>
                <c:ptCount val="6"/>
                <c:pt idx="0">
                  <c:v>7.8</c:v>
                </c:pt>
                <c:pt idx="1">
                  <c:v>10</c:v>
                </c:pt>
                <c:pt idx="2">
                  <c:v>11.2</c:v>
                </c:pt>
                <c:pt idx="3">
                  <c:v>14.7</c:v>
                </c:pt>
                <c:pt idx="4">
                  <c:v>5</c:v>
                </c:pt>
                <c:pt idx="5">
                  <c:v>17.3</c:v>
                </c:pt>
              </c:numCache>
            </c:numRef>
          </c:xVal>
          <c:yVal>
            <c:numRef>
              <c:f>'PDP Calibration'!$I$2:$I$7</c:f>
              <c:numCache>
                <c:formatCode>General</c:formatCode>
                <c:ptCount val="6"/>
                <c:pt idx="0">
                  <c:v>7.6802893432184298</c:v>
                </c:pt>
                <c:pt idx="1">
                  <c:v>9.65850401078551</c:v>
                </c:pt>
                <c:pt idx="2">
                  <c:v>10.528556376614628</c:v>
                </c:pt>
                <c:pt idx="3">
                  <c:v>12.288926506056551</c:v>
                </c:pt>
                <c:pt idx="4">
                  <c:v>4.9729458722947832</c:v>
                </c:pt>
                <c:pt idx="5">
                  <c:v>14.604674889139334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47-42B4-8F16-0C7037D0632A}"/>
            </c:ext>
          </c:extLst>
        </c:ser>
        <c:ser>
          <c:idx val="1"/>
          <c:order val="1"/>
          <c:tx>
            <c:v>FP Meter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5938538932633421E-2"/>
                  <c:y val="0.2094105424321959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0" i="0" u="none" strike="noStrike" kern="1200" baseline="0">
                        <a:solidFill>
                          <a:schemeClr val="tx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/>
                      <a:t>FP Meter:</a:t>
                    </a:r>
                  </a:p>
                  <a:p>
                    <a:pPr>
                      <a:defRPr/>
                    </a:pPr>
                    <a:r>
                      <a:rPr lang="en-US" sz="1000"/>
                      <a:t>y = 0.4871x + 2.7905</a:t>
                    </a:r>
                    <a:br>
                      <a:rPr lang="en-US" sz="1000"/>
                    </a:br>
                    <a:r>
                      <a:rPr lang="en-US" sz="1000"/>
                      <a:t>R² = 1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fixedVal"/>
            <c:noEndCap val="0"/>
            <c:val val="0.1123720000000000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1.2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'PDP Calibration'!$G$2:$G$6</c:f>
              <c:numCache>
                <c:formatCode>General</c:formatCode>
                <c:ptCount val="5"/>
                <c:pt idx="0">
                  <c:v>10</c:v>
                </c:pt>
                <c:pt idx="1">
                  <c:v>14.1</c:v>
                </c:pt>
                <c:pt idx="2">
                  <c:v>15.9</c:v>
                </c:pt>
                <c:pt idx="3">
                  <c:v>19.5</c:v>
                </c:pt>
                <c:pt idx="4">
                  <c:v>4.5</c:v>
                </c:pt>
              </c:numCache>
            </c:numRef>
          </c:xVal>
          <c:yVal>
            <c:numRef>
              <c:f>'PDP Calibration'!$I$2:$I$7</c:f>
              <c:numCache>
                <c:formatCode>General</c:formatCode>
                <c:ptCount val="6"/>
                <c:pt idx="0">
                  <c:v>7.6802893432184298</c:v>
                </c:pt>
                <c:pt idx="1">
                  <c:v>9.65850401078551</c:v>
                </c:pt>
                <c:pt idx="2">
                  <c:v>10.528556376614628</c:v>
                </c:pt>
                <c:pt idx="3">
                  <c:v>12.288926506056551</c:v>
                </c:pt>
                <c:pt idx="4">
                  <c:v>4.9729458722947832</c:v>
                </c:pt>
                <c:pt idx="5">
                  <c:v>14.604674889139334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47-42B4-8F16-0C7037D0632A}"/>
            </c:ext>
          </c:extLst>
        </c:ser>
        <c:ser>
          <c:idx val="2"/>
          <c:order val="2"/>
          <c:tx>
            <c:v>Parity line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'PDP Calibration'!$R$2:$R$3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xVal>
          <c:yVal>
            <c:numRef>
              <c:f>'PDP Calibration'!$S$2:$S$3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47-42B4-8F16-0C7037D06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003296"/>
        <c:axId val="237001376"/>
      </c:scatterChart>
      <c:valAx>
        <c:axId val="237003296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Flowmeter Measurements (GPM &amp; SCFM)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7001376"/>
        <c:crosses val="autoZero"/>
        <c:crossBetween val="midCat"/>
      </c:valAx>
      <c:valAx>
        <c:axId val="237001376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Stopwatch &amp; Bucket Flowrate (GPM)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7003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503 RPM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bg2">
                  <a:lumMod val="75000"/>
                </a:schemeClr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4.7628000000000012E-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3464.575000000000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'PDP Data'!$E$39:$E$43</c:f>
              <c:numCache>
                <c:formatCode>General</c:formatCode>
                <c:ptCount val="5"/>
                <c:pt idx="0">
                  <c:v>3.0307562969201059E-4</c:v>
                </c:pt>
                <c:pt idx="1">
                  <c:v>3.3483123884906336E-4</c:v>
                </c:pt>
                <c:pt idx="2">
                  <c:v>3.3483123884906336E-4</c:v>
                </c:pt>
                <c:pt idx="3">
                  <c:v>3.2868499191544029E-4</c:v>
                </c:pt>
                <c:pt idx="4">
                  <c:v>3.481481072052468E-4</c:v>
                </c:pt>
              </c:numCache>
            </c:numRef>
          </c:xVal>
          <c:yVal>
            <c:numRef>
              <c:f>'PDP Data'!$E$45:$E$49</c:f>
              <c:numCache>
                <c:formatCode>General</c:formatCode>
                <c:ptCount val="5"/>
                <c:pt idx="0">
                  <c:v>62635.524591172209</c:v>
                </c:pt>
                <c:pt idx="1">
                  <c:v>54109.004724505554</c:v>
                </c:pt>
                <c:pt idx="2">
                  <c:v>49489.515524505543</c:v>
                </c:pt>
                <c:pt idx="3">
                  <c:v>55740.764591172214</c:v>
                </c:pt>
                <c:pt idx="4">
                  <c:v>45398.624591172207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28-4BEB-B267-1F8DBB3B979D}"/>
            </c:ext>
          </c:extLst>
        </c:ser>
        <c:ser>
          <c:idx val="1"/>
          <c:order val="1"/>
          <c:tx>
            <c:v>754 RPM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4.7628200000000019E-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3464.575000000000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'PDP Data'!$L$39:$L$43</c:f>
              <c:numCache>
                <c:formatCode>General</c:formatCode>
                <c:ptCount val="5"/>
                <c:pt idx="0">
                  <c:v>5.3458426419181486E-4</c:v>
                </c:pt>
                <c:pt idx="1">
                  <c:v>5.7453486926036521E-4</c:v>
                </c:pt>
                <c:pt idx="2">
                  <c:v>5.7555924374930244E-4</c:v>
                </c:pt>
                <c:pt idx="3">
                  <c:v>5.5609612845949593E-4</c:v>
                </c:pt>
                <c:pt idx="4">
                  <c:v>5.8375423966080002E-4</c:v>
                </c:pt>
              </c:numCache>
            </c:numRef>
          </c:xVal>
          <c:yVal>
            <c:numRef>
              <c:f>'PDP Data'!$L$45:$L$49</c:f>
              <c:numCache>
                <c:formatCode>General</c:formatCode>
                <c:ptCount val="5"/>
                <c:pt idx="0">
                  <c:v>110875.86205783889</c:v>
                </c:pt>
                <c:pt idx="1">
                  <c:v>96488.796191172223</c:v>
                </c:pt>
                <c:pt idx="2">
                  <c:v>89571.053657838886</c:v>
                </c:pt>
                <c:pt idx="3">
                  <c:v>97109.324591172219</c:v>
                </c:pt>
                <c:pt idx="4">
                  <c:v>80217.162591172222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28-4BEB-B267-1F8DBB3B979D}"/>
            </c:ext>
          </c:extLst>
        </c:ser>
        <c:ser>
          <c:idx val="2"/>
          <c:order val="2"/>
          <c:tx>
            <c:v>1095 RPM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5.9400000000000028E-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3464.575000000000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'PDP Data'!$S$39:$S$43</c:f>
              <c:numCache>
                <c:formatCode>General</c:formatCode>
                <c:ptCount val="5"/>
                <c:pt idx="0">
                  <c:v>8.0809225273804398E-4</c:v>
                </c:pt>
                <c:pt idx="1">
                  <c:v>8.1750173493030768E-4</c:v>
                </c:pt>
                <c:pt idx="2">
                  <c:v>8.2588011301268458E-4</c:v>
                </c:pt>
                <c:pt idx="3">
                  <c:v>8.1191614954205646E-4</c:v>
                </c:pt>
                <c:pt idx="4">
                  <c:v>8.1915049206298437E-4</c:v>
                </c:pt>
              </c:numCache>
            </c:numRef>
          </c:xVal>
          <c:yVal>
            <c:numRef>
              <c:f>'PDP Data'!$S$45:$S$49</c:f>
              <c:numCache>
                <c:formatCode>General</c:formatCode>
                <c:ptCount val="5"/>
                <c:pt idx="0">
                  <c:v>181524.16952450559</c:v>
                </c:pt>
                <c:pt idx="1">
                  <c:v>161598.31312450554</c:v>
                </c:pt>
                <c:pt idx="2">
                  <c:v>145142.81925783888</c:v>
                </c:pt>
                <c:pt idx="3">
                  <c:v>170745.36139117222</c:v>
                </c:pt>
                <c:pt idx="4">
                  <c:v>127446.26859117222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28-4BEB-B267-1F8DBB3B9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026784"/>
        <c:axId val="550024384"/>
      </c:scatterChart>
      <c:valAx>
        <c:axId val="55002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Flow</a:t>
                </a:r>
                <a:r>
                  <a:rPr lang="en-US" b="1" baseline="0"/>
                  <a:t>rate (m</a:t>
                </a:r>
                <a:r>
                  <a:rPr lang="en-US" b="1" baseline="30000"/>
                  <a:t>3</a:t>
                </a:r>
                <a:r>
                  <a:rPr lang="en-US" b="1" baseline="0"/>
                  <a:t>/s)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50024384"/>
        <c:crosses val="autoZero"/>
        <c:crossBetween val="midCat"/>
      </c:valAx>
      <c:valAx>
        <c:axId val="55002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Head Pressure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50026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503 RPM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bg2">
                  <a:lumMod val="75000"/>
                </a:schemeClr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4.7628200000000019E-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'PDP Data'!$AK$72:$AK$76</c:f>
                <c:numCache>
                  <c:formatCode>General</c:formatCode>
                  <c:ptCount val="5"/>
                  <c:pt idx="0">
                    <c:v>2.047242598788837E-4</c:v>
                  </c:pt>
                  <c:pt idx="1">
                    <c:v>2.0570437708764238E-4</c:v>
                  </c:pt>
                  <c:pt idx="2">
                    <c:v>1.5564135353919904E-4</c:v>
                  </c:pt>
                  <c:pt idx="3">
                    <c:v>1.5718953269174829E-4</c:v>
                  </c:pt>
                  <c:pt idx="4">
                    <c:v>1.4587506259097327E-4</c:v>
                  </c:pt>
                </c:numCache>
              </c:numRef>
            </c:plus>
            <c:minus>
              <c:numRef>
                <c:f>'PDP Data'!$AK$72:$AK$76</c:f>
                <c:numCache>
                  <c:formatCode>General</c:formatCode>
                  <c:ptCount val="5"/>
                  <c:pt idx="0">
                    <c:v>2.047242598788837E-4</c:v>
                  </c:pt>
                  <c:pt idx="1">
                    <c:v>2.0570437708764238E-4</c:v>
                  </c:pt>
                  <c:pt idx="2">
                    <c:v>1.5564135353919904E-4</c:v>
                  </c:pt>
                  <c:pt idx="3">
                    <c:v>1.5718953269174829E-4</c:v>
                  </c:pt>
                  <c:pt idx="4">
                    <c:v>1.4587506259097327E-4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'PDP Data'!$J$75:$J$79</c:f>
              <c:numCache>
                <c:formatCode>General</c:formatCode>
                <c:ptCount val="5"/>
                <c:pt idx="0">
                  <c:v>3.0307562969201059E-4</c:v>
                </c:pt>
                <c:pt idx="1">
                  <c:v>3.3483123884906336E-4</c:v>
                </c:pt>
                <c:pt idx="2">
                  <c:v>3.3483123884906336E-4</c:v>
                </c:pt>
                <c:pt idx="3">
                  <c:v>3.2868499191544029E-4</c:v>
                </c:pt>
                <c:pt idx="4">
                  <c:v>3.481481072052468E-4</c:v>
                </c:pt>
              </c:numCache>
            </c:numRef>
          </c:xVal>
          <c:yVal>
            <c:numRef>
              <c:f>'PDP Data'!$L$75:$L$79</c:f>
              <c:numCache>
                <c:formatCode>General</c:formatCode>
                <c:ptCount val="5"/>
                <c:pt idx="0">
                  <c:v>16.951666089021042</c:v>
                </c:pt>
                <c:pt idx="1">
                  <c:v>17.590447333345338</c:v>
                </c:pt>
                <c:pt idx="2">
                  <c:v>16.335822809172036</c:v>
                </c:pt>
                <c:pt idx="3">
                  <c:v>17.141018436685496</c:v>
                </c:pt>
                <c:pt idx="4">
                  <c:v>15.014854879614989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FE-4409-9C21-A23220B2D8B2}"/>
            </c:ext>
          </c:extLst>
        </c:ser>
        <c:ser>
          <c:idx val="1"/>
          <c:order val="1"/>
          <c:tx>
            <c:v>754 RPM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4.7628200000000019E-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'PDP Data'!$AK$77:$AK$81</c:f>
                <c:numCache>
                  <c:formatCode>General</c:formatCode>
                  <c:ptCount val="5"/>
                  <c:pt idx="0">
                    <c:v>2.4786100298755517E-5</c:v>
                  </c:pt>
                  <c:pt idx="1">
                    <c:v>1.4922181361125842E-5</c:v>
                  </c:pt>
                  <c:pt idx="2">
                    <c:v>1.5644198349162413E-5</c:v>
                  </c:pt>
                  <c:pt idx="3">
                    <c:v>1.6289106403156481E-5</c:v>
                  </c:pt>
                  <c:pt idx="4">
                    <c:v>1.4935439805283435E-5</c:v>
                  </c:pt>
                </c:numCache>
              </c:numRef>
            </c:plus>
            <c:minus>
              <c:numRef>
                <c:f>'PDP Data'!$AK$77:$AK$81</c:f>
                <c:numCache>
                  <c:formatCode>General</c:formatCode>
                  <c:ptCount val="5"/>
                  <c:pt idx="0">
                    <c:v>2.4786100298755517E-5</c:v>
                  </c:pt>
                  <c:pt idx="1">
                    <c:v>1.4922181361125842E-5</c:v>
                  </c:pt>
                  <c:pt idx="2">
                    <c:v>1.5644198349162413E-5</c:v>
                  </c:pt>
                  <c:pt idx="3">
                    <c:v>1.6289106403156481E-5</c:v>
                  </c:pt>
                  <c:pt idx="4">
                    <c:v>1.4935439805283435E-5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'PDP Data'!$J$80:$J$84</c:f>
              <c:numCache>
                <c:formatCode>General</c:formatCode>
                <c:ptCount val="5"/>
                <c:pt idx="0">
                  <c:v>5.3458426419181486E-4</c:v>
                </c:pt>
                <c:pt idx="1">
                  <c:v>5.7453486926036521E-4</c:v>
                </c:pt>
                <c:pt idx="2">
                  <c:v>5.7555924374930244E-4</c:v>
                </c:pt>
                <c:pt idx="3">
                  <c:v>5.5609612845949593E-4</c:v>
                </c:pt>
                <c:pt idx="4">
                  <c:v>5.8375423966080002E-4</c:v>
                </c:pt>
              </c:numCache>
            </c:numRef>
          </c:xVal>
          <c:yVal>
            <c:numRef>
              <c:f>'PDP Data'!$L$80:$L$84</c:f>
              <c:numCache>
                <c:formatCode>General</c:formatCode>
                <c:ptCount val="5"/>
                <c:pt idx="0">
                  <c:v>16.707644460893743</c:v>
                </c:pt>
                <c:pt idx="1">
                  <c:v>15.447887655467488</c:v>
                </c:pt>
                <c:pt idx="2">
                  <c:v>14.481757528581616</c:v>
                </c:pt>
                <c:pt idx="3">
                  <c:v>15.292959176406274</c:v>
                </c:pt>
                <c:pt idx="4">
                  <c:v>13.393714437532669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FE-4409-9C21-A23220B2D8B2}"/>
            </c:ext>
          </c:extLst>
        </c:ser>
        <c:ser>
          <c:idx val="2"/>
          <c:order val="2"/>
          <c:tx>
            <c:v>1095 RPM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5.9400000000000028E-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'PDP Data'!$AK$82:$AK$86</c:f>
                <c:numCache>
                  <c:formatCode>General</c:formatCode>
                  <c:ptCount val="5"/>
                  <c:pt idx="0">
                    <c:v>4.4499316562721364E-6</c:v>
                  </c:pt>
                  <c:pt idx="1">
                    <c:v>3.9065192493718157E-6</c:v>
                  </c:pt>
                  <c:pt idx="2">
                    <c:v>7.1793497379109123E-6</c:v>
                  </c:pt>
                  <c:pt idx="3">
                    <c:v>7.9675273007650095E-6</c:v>
                  </c:pt>
                  <c:pt idx="4">
                    <c:v>7.5752941538155246E-6</c:v>
                  </c:pt>
                </c:numCache>
              </c:numRef>
            </c:plus>
            <c:minus>
              <c:numRef>
                <c:f>'PDP Data'!$AK$82:$AK$86</c:f>
                <c:numCache>
                  <c:formatCode>General</c:formatCode>
                  <c:ptCount val="5"/>
                  <c:pt idx="0">
                    <c:v>4.4499316562721364E-6</c:v>
                  </c:pt>
                  <c:pt idx="1">
                    <c:v>3.9065192493718157E-6</c:v>
                  </c:pt>
                  <c:pt idx="2">
                    <c:v>7.1793497379109123E-6</c:v>
                  </c:pt>
                  <c:pt idx="3">
                    <c:v>7.9675273007650095E-6</c:v>
                  </c:pt>
                  <c:pt idx="4">
                    <c:v>7.5752941538155246E-6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'PDP Data'!$J$85:$J$89</c:f>
              <c:numCache>
                <c:formatCode>General</c:formatCode>
                <c:ptCount val="5"/>
                <c:pt idx="0">
                  <c:v>8.0809225273804398E-4</c:v>
                </c:pt>
                <c:pt idx="1">
                  <c:v>8.1750173493030768E-4</c:v>
                </c:pt>
                <c:pt idx="2">
                  <c:v>8.2588011301268458E-4</c:v>
                </c:pt>
                <c:pt idx="3">
                  <c:v>8.1191614954205646E-4</c:v>
                </c:pt>
                <c:pt idx="4">
                  <c:v>8.1915049206298437E-4</c:v>
                </c:pt>
              </c:numCache>
            </c:numRef>
          </c:xVal>
          <c:yVal>
            <c:numRef>
              <c:f>'PDP Data'!$L$85:$L$89</c:f>
              <c:numCache>
                <c:formatCode>General</c:formatCode>
                <c:ptCount val="5"/>
                <c:pt idx="0">
                  <c:v>18.389787401068581</c:v>
                </c:pt>
                <c:pt idx="1">
                  <c:v>16.956109906147336</c:v>
                </c:pt>
                <c:pt idx="2">
                  <c:v>15.240428917177695</c:v>
                </c:pt>
                <c:pt idx="3">
                  <c:v>17.418249197164606</c:v>
                </c:pt>
                <c:pt idx="4">
                  <c:v>13.464214679316521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6FE-4409-9C21-A23220B2D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092031"/>
        <c:axId val="438093471"/>
      </c:scatterChart>
      <c:valAx>
        <c:axId val="438092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Flowrate (m</a:t>
                </a:r>
                <a:r>
                  <a:rPr lang="en-US" b="1" baseline="30000"/>
                  <a:t>3</a:t>
                </a:r>
                <a:r>
                  <a:rPr lang="en-US" b="1"/>
                  <a:t>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8093471"/>
        <c:crosses val="autoZero"/>
        <c:crossBetween val="midCat"/>
      </c:valAx>
      <c:valAx>
        <c:axId val="43809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8092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264126</xdr:colOff>
      <xdr:row>10</xdr:row>
      <xdr:rowOff>51566</xdr:rowOff>
    </xdr:from>
    <xdr:to>
      <xdr:col>7</xdr:col>
      <xdr:colOff>873726</xdr:colOff>
      <xdr:row>23</xdr:row>
      <xdr:rowOff>194441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E508C1E2-3C12-2420-7EEF-50B953596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245573</xdr:colOff>
      <xdr:row>63</xdr:row>
      <xdr:rowOff>133339</xdr:rowOff>
    </xdr:from>
    <xdr:to>
      <xdr:col>9</xdr:col>
      <xdr:colOff>477693</xdr:colOff>
      <xdr:row>77</xdr:row>
      <xdr:rowOff>104943</xdr:rowOff>
    </xdr:to>
    <xdr:graphicFrame macro="">
      <xdr:nvGraphicFramePr>
        <xdr:cNvPr id="85" name="Chart 1">
          <a:extLst>
            <a:ext uri="{FF2B5EF4-FFF2-40B4-BE49-F238E27FC236}">
              <a16:creationId xmlns:a16="http://schemas.microsoft.com/office/drawing/2014/main" id="{A8A94C19-695A-AAE9-FF6E-EF38AD3CA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585169</xdr:colOff>
      <xdr:row>63</xdr:row>
      <xdr:rowOff>93800</xdr:rowOff>
    </xdr:from>
    <xdr:to>
      <xdr:col>15</xdr:col>
      <xdr:colOff>152683</xdr:colOff>
      <xdr:row>77</xdr:row>
      <xdr:rowOff>97918</xdr:rowOff>
    </xdr:to>
    <xdr:graphicFrame macro="">
      <xdr:nvGraphicFramePr>
        <xdr:cNvPr id="88" name="Chart 2">
          <a:extLst>
            <a:ext uri="{FF2B5EF4-FFF2-40B4-BE49-F238E27FC236}">
              <a16:creationId xmlns:a16="http://schemas.microsoft.com/office/drawing/2014/main" id="{8E043D10-14D8-7E0D-0CAE-E7F57C7ADF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872244</xdr:colOff>
      <xdr:row>13</xdr:row>
      <xdr:rowOff>64480</xdr:rowOff>
    </xdr:from>
    <xdr:to>
      <xdr:col>7</xdr:col>
      <xdr:colOff>405519</xdr:colOff>
      <xdr:row>27</xdr:row>
      <xdr:rowOff>7330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48649290-9F66-40DA-6324-449DC57F02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631817</xdr:colOff>
      <xdr:row>74</xdr:row>
      <xdr:rowOff>52330</xdr:rowOff>
    </xdr:from>
    <xdr:to>
      <xdr:col>7</xdr:col>
      <xdr:colOff>1910521</xdr:colOff>
      <xdr:row>89</xdr:row>
      <xdr:rowOff>18768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B96E2D60-A2B3-62F5-87A7-78FEEB4BAE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611372</xdr:colOff>
      <xdr:row>73</xdr:row>
      <xdr:rowOff>177209</xdr:rowOff>
    </xdr:from>
    <xdr:to>
      <xdr:col>16</xdr:col>
      <xdr:colOff>867523</xdr:colOff>
      <xdr:row>87</xdr:row>
      <xdr:rowOff>140903</xdr:rowOff>
    </xdr:to>
    <xdr:graphicFrame macro="">
      <xdr:nvGraphicFramePr>
        <xdr:cNvPr id="27" name="Chart 2">
          <a:extLst>
            <a:ext uri="{FF2B5EF4-FFF2-40B4-BE49-F238E27FC236}">
              <a16:creationId xmlns:a16="http://schemas.microsoft.com/office/drawing/2014/main" id="{790CED1E-5EFA-4529-AAD4-B32748A7B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abe Wylie" id="{49CE2AF9-4958-4E5D-82A6-6C5AAB8BC1BC}" userId="S::gwylie@uw.edu::1ab292fa-aadc-4c4d-8251-b611307b9994" providerId="AD"/>
  <person displayName="Nathan Rodrigue" id="{5AD39C60-70F3-492F-B3C5-34D27056C41B}" userId="S::nr1122@uw.edu::d3efc563-3471-4641-ba78-cbc3fdc162c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5-11-06T18:41:30.49" personId="{5AD39C60-70F3-492F-B3C5-34D27056C41B}" id="{D58F40F3-A695-4B76-95B6-104D55E88D40}" done="1">
    <text>This is weird</text>
  </threadedComment>
  <threadedComment ref="B7" dT="2025-11-06T18:44:37.60" personId="{49CE2AF9-4958-4E5D-82A6-6C5AAB8BC1BC}" id="{6E335FD0-D570-4A9A-BCA3-BA8B3A414B35}" parentId="{D58F40F3-A695-4B76-95B6-104D55E88D40}">
    <text>Looks like I may have types 28.38 instead of 20.38</text>
  </threadedComment>
  <threadedComment ref="B7" dT="2025-11-06T18:45:36.36" personId="{5AD39C60-70F3-492F-B3C5-34D27056C41B}" id="{BA6E5E55-C29D-4879-9745-AD0BBE11A037}" parentId="{D58F40F3-A695-4B76-95B6-104D55E88D40}">
    <text>Ok sounds good, changed the dt column to reflect change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09E0B-6B1C-4AAC-B195-EF3DAB7745CF}">
  <dimension ref="A1:Y65"/>
  <sheetViews>
    <sheetView topLeftCell="Q1" zoomScale="72" workbookViewId="0">
      <selection activeCell="E32" sqref="E32"/>
    </sheetView>
  </sheetViews>
  <sheetFormatPr defaultRowHeight="15.75"/>
  <cols>
    <col min="1" max="1" width="22.625" bestFit="1" customWidth="1"/>
    <col min="2" max="2" width="8.5" bestFit="1" customWidth="1"/>
    <col min="3" max="4" width="7.5" bestFit="1" customWidth="1"/>
    <col min="5" max="5" width="7.625" bestFit="1" customWidth="1"/>
    <col min="6" max="6" width="14.875" bestFit="1" customWidth="1"/>
    <col min="7" max="7" width="9.625" customWidth="1"/>
    <col min="8" max="8" width="21.625" customWidth="1"/>
    <col min="9" max="11" width="7.5" bestFit="1" customWidth="1"/>
    <col min="12" max="12" width="8.875" bestFit="1" customWidth="1"/>
    <col min="13" max="13" width="14.875" bestFit="1" customWidth="1"/>
    <col min="15" max="15" width="20.5" customWidth="1"/>
    <col min="16" max="16" width="9" bestFit="1" customWidth="1"/>
    <col min="17" max="19" width="8.875" bestFit="1" customWidth="1"/>
    <col min="20" max="20" width="13.375" bestFit="1" customWidth="1"/>
    <col min="21" max="21" width="46.375" bestFit="1" customWidth="1"/>
    <col min="23" max="23" width="8.875" bestFit="1" customWidth="1"/>
    <col min="25" max="25" width="8.875" bestFit="1" customWidth="1"/>
  </cols>
  <sheetData>
    <row r="1" spans="1:25">
      <c r="A1" s="2" t="s">
        <v>0</v>
      </c>
      <c r="B1" s="2">
        <v>1500</v>
      </c>
      <c r="G1" s="5"/>
      <c r="H1" s="2" t="s">
        <v>0</v>
      </c>
      <c r="I1" s="2">
        <v>2250</v>
      </c>
      <c r="N1" s="6"/>
      <c r="O1" s="2" t="s">
        <v>0</v>
      </c>
      <c r="P1" s="2">
        <v>3000</v>
      </c>
      <c r="Q1" t="s">
        <v>1</v>
      </c>
      <c r="U1" s="4" t="s">
        <v>2</v>
      </c>
    </row>
    <row r="2" spans="1:25">
      <c r="B2" t="s">
        <v>3</v>
      </c>
      <c r="C2" t="s">
        <v>4</v>
      </c>
      <c r="D2" t="s">
        <v>5</v>
      </c>
      <c r="E2" t="s">
        <v>6</v>
      </c>
      <c r="F2" t="s">
        <v>7</v>
      </c>
      <c r="G2" s="6"/>
      <c r="I2" t="s">
        <v>3</v>
      </c>
      <c r="J2" t="s">
        <v>4</v>
      </c>
      <c r="K2" t="s">
        <v>5</v>
      </c>
      <c r="L2" t="s">
        <v>6</v>
      </c>
      <c r="M2" t="s">
        <v>7</v>
      </c>
      <c r="N2" s="6"/>
      <c r="P2" t="s">
        <v>3</v>
      </c>
      <c r="Q2" t="s">
        <v>4</v>
      </c>
      <c r="R2" t="s">
        <v>5</v>
      </c>
      <c r="S2" t="s">
        <v>6</v>
      </c>
      <c r="T2" t="s">
        <v>7</v>
      </c>
    </row>
    <row r="3" spans="1:25">
      <c r="A3" t="s">
        <v>8</v>
      </c>
      <c r="B3">
        <v>32.200000000000003</v>
      </c>
      <c r="C3">
        <v>32</v>
      </c>
      <c r="D3">
        <v>31.5</v>
      </c>
      <c r="E3">
        <f>AVERAGE(B3:D3)</f>
        <v>31.900000000000002</v>
      </c>
      <c r="F3">
        <f>_xlfn.STDEV.S(B3:D3)</f>
        <v>0.36055512754640007</v>
      </c>
      <c r="G3" s="6"/>
      <c r="H3" t="s">
        <v>8</v>
      </c>
      <c r="I3">
        <v>39.6</v>
      </c>
      <c r="J3">
        <v>39.4</v>
      </c>
      <c r="K3">
        <v>41.6</v>
      </c>
      <c r="L3">
        <f>AVERAGE(I3:K3)</f>
        <v>40.199999999999996</v>
      </c>
      <c r="M3">
        <f>_xlfn.STDEV.S(I3:K3)</f>
        <v>1.2165525060596449</v>
      </c>
      <c r="N3" s="6"/>
      <c r="O3" t="s">
        <v>8</v>
      </c>
      <c r="P3">
        <v>49</v>
      </c>
      <c r="Q3">
        <v>48.6</v>
      </c>
      <c r="R3">
        <v>47.9</v>
      </c>
      <c r="S3">
        <f>AVERAGE(P3:R3)</f>
        <v>48.5</v>
      </c>
      <c r="T3">
        <f>_xlfn.STDEV.S(P3:R3)</f>
        <v>0.55677643628300311</v>
      </c>
      <c r="U3" s="3" t="s">
        <v>9</v>
      </c>
    </row>
    <row r="4" spans="1:25">
      <c r="A4" t="s">
        <v>10</v>
      </c>
      <c r="B4">
        <v>0</v>
      </c>
      <c r="C4">
        <v>0</v>
      </c>
      <c r="D4">
        <v>0</v>
      </c>
      <c r="E4">
        <f>AVERAGE(B4:D4)</f>
        <v>0</v>
      </c>
      <c r="F4">
        <f>_xlfn.STDEV.S(B4:D4)</f>
        <v>0</v>
      </c>
      <c r="G4" s="6"/>
      <c r="H4" t="s">
        <v>10</v>
      </c>
      <c r="I4">
        <v>-3.5</v>
      </c>
      <c r="J4">
        <v>-3</v>
      </c>
      <c r="K4">
        <v>-3.5</v>
      </c>
      <c r="L4">
        <f>AVERAGE(I4:K4)</f>
        <v>-3.3333333333333335</v>
      </c>
      <c r="M4">
        <f>_xlfn.STDEV.S(I4:K4)</f>
        <v>0.28867513459481292</v>
      </c>
      <c r="N4" s="6"/>
      <c r="O4" t="s">
        <v>10</v>
      </c>
      <c r="P4">
        <v>-6.7</v>
      </c>
      <c r="Q4">
        <v>-6.9</v>
      </c>
      <c r="R4">
        <v>-6.5</v>
      </c>
      <c r="S4">
        <f>AVERAGE(P4:R4)</f>
        <v>-6.7</v>
      </c>
      <c r="T4">
        <f>_xlfn.STDEV.S(P4:R4)</f>
        <v>0.20000000000000018</v>
      </c>
      <c r="W4" t="s">
        <v>11</v>
      </c>
    </row>
    <row r="5" spans="1:25">
      <c r="A5" t="s">
        <v>12</v>
      </c>
      <c r="B5">
        <v>17</v>
      </c>
      <c r="C5">
        <v>17</v>
      </c>
      <c r="D5">
        <v>17</v>
      </c>
      <c r="E5">
        <f>AVERAGE(B5:D5)</f>
        <v>17</v>
      </c>
      <c r="F5">
        <f>_xlfn.STDEV.S(B5:D5)</f>
        <v>0</v>
      </c>
      <c r="G5" s="6"/>
      <c r="H5" t="s">
        <v>12</v>
      </c>
      <c r="I5">
        <v>34</v>
      </c>
      <c r="J5">
        <v>31</v>
      </c>
      <c r="K5">
        <v>31</v>
      </c>
      <c r="L5">
        <f>AVERAGE(I5:K5)</f>
        <v>32</v>
      </c>
      <c r="M5">
        <f>_xlfn.STDEV.S(I5:K5)</f>
        <v>1.7320508075688772</v>
      </c>
      <c r="N5" s="6"/>
      <c r="O5" t="s">
        <v>12</v>
      </c>
      <c r="P5">
        <v>47</v>
      </c>
      <c r="Q5">
        <v>45</v>
      </c>
      <c r="R5">
        <v>52</v>
      </c>
      <c r="S5">
        <f>AVERAGE(P5:R5)</f>
        <v>48</v>
      </c>
      <c r="T5">
        <f>_xlfn.STDEV.S(P5:R5)</f>
        <v>3.6055512754639891</v>
      </c>
      <c r="W5" s="12">
        <v>9</v>
      </c>
      <c r="Y5" t="s">
        <v>13</v>
      </c>
    </row>
    <row r="6" spans="1:25">
      <c r="A6" t="s">
        <v>14</v>
      </c>
      <c r="B6">
        <v>94</v>
      </c>
      <c r="C6">
        <v>93</v>
      </c>
      <c r="D6">
        <v>93</v>
      </c>
      <c r="E6">
        <f>AVERAGE(B6:D6)</f>
        <v>93.333333333333329</v>
      </c>
      <c r="F6">
        <f>_xlfn.STDEV.S(B6:D6)</f>
        <v>0.57735026918962573</v>
      </c>
      <c r="G6" s="6"/>
      <c r="H6" t="s">
        <v>14</v>
      </c>
      <c r="I6">
        <v>135</v>
      </c>
      <c r="J6">
        <v>134</v>
      </c>
      <c r="K6">
        <v>134</v>
      </c>
      <c r="L6">
        <f>AVERAGE(I6:K6)</f>
        <v>134.33333333333334</v>
      </c>
      <c r="M6">
        <f>_xlfn.STDEV.S(I6:K6)</f>
        <v>0.57735026918962584</v>
      </c>
      <c r="N6" s="6"/>
      <c r="O6" t="s">
        <v>14</v>
      </c>
      <c r="P6">
        <v>180</v>
      </c>
      <c r="Q6">
        <v>180</v>
      </c>
      <c r="R6">
        <v>179</v>
      </c>
      <c r="S6">
        <f>AVERAGE(P6:R6)</f>
        <v>179.66666666666666</v>
      </c>
      <c r="T6">
        <f>_xlfn.STDEV.S(P6:R6)</f>
        <v>0.57735026918962584</v>
      </c>
      <c r="W6" s="12">
        <v>9.1</v>
      </c>
      <c r="Y6" s="12">
        <f>AVERAGE(W5:W7)</f>
        <v>9.0333333333333332</v>
      </c>
    </row>
    <row r="7" spans="1:25">
      <c r="A7" t="s">
        <v>15</v>
      </c>
      <c r="B7">
        <v>2.9</v>
      </c>
      <c r="C7">
        <v>2.9</v>
      </c>
      <c r="D7">
        <v>2.9</v>
      </c>
      <c r="E7">
        <f>AVERAGE(B7:D7)</f>
        <v>2.9</v>
      </c>
      <c r="F7">
        <f>_xlfn.STDEV.S(B7:D7)</f>
        <v>0</v>
      </c>
      <c r="G7" s="6"/>
      <c r="H7" t="s">
        <v>15</v>
      </c>
      <c r="I7">
        <v>4.3</v>
      </c>
      <c r="J7">
        <v>4.3</v>
      </c>
      <c r="K7">
        <v>4.3</v>
      </c>
      <c r="L7">
        <f>AVERAGE(I7:K7)</f>
        <v>4.3</v>
      </c>
      <c r="M7">
        <f>_xlfn.STDEV.S(I7:K7)</f>
        <v>0</v>
      </c>
      <c r="N7" s="6"/>
      <c r="O7" t="s">
        <v>15</v>
      </c>
      <c r="P7">
        <v>6</v>
      </c>
      <c r="Q7">
        <v>6</v>
      </c>
      <c r="R7">
        <v>6</v>
      </c>
      <c r="S7">
        <f>AVERAGE(P7:R7)</f>
        <v>6</v>
      </c>
      <c r="T7">
        <f>_xlfn.STDEV.S(P7:R7)</f>
        <v>0</v>
      </c>
      <c r="W7" s="12">
        <v>9</v>
      </c>
    </row>
    <row r="8" spans="1:25">
      <c r="G8" s="6"/>
      <c r="N8" s="6"/>
    </row>
    <row r="9" spans="1:25">
      <c r="A9" t="s">
        <v>16</v>
      </c>
      <c r="B9">
        <v>30.7</v>
      </c>
      <c r="C9">
        <v>30.9</v>
      </c>
      <c r="D9">
        <v>31</v>
      </c>
      <c r="E9">
        <f>AVERAGE(B9:D9)</f>
        <v>30.866666666666664</v>
      </c>
      <c r="F9">
        <f>_xlfn.STDEV.S(B9:D9)</f>
        <v>0.15275252316519491</v>
      </c>
      <c r="G9" s="6"/>
      <c r="H9" t="s">
        <v>16</v>
      </c>
      <c r="I9">
        <v>41.6</v>
      </c>
      <c r="J9">
        <v>40.299999999999997</v>
      </c>
      <c r="K9">
        <v>39.4</v>
      </c>
      <c r="L9">
        <f>AVERAGE(I9:K9)</f>
        <v>40.433333333333337</v>
      </c>
      <c r="M9">
        <f>_xlfn.STDEV.S(I9:K9)</f>
        <v>1.1060440015358055</v>
      </c>
      <c r="N9" s="6"/>
      <c r="O9" t="s">
        <v>16</v>
      </c>
      <c r="P9">
        <v>48.3</v>
      </c>
      <c r="Q9">
        <v>46.7</v>
      </c>
      <c r="R9">
        <v>46</v>
      </c>
      <c r="S9">
        <f>AVERAGE(P9:R9)</f>
        <v>47</v>
      </c>
      <c r="T9">
        <f>_xlfn.STDEV.S(P9:R9)</f>
        <v>1.1789826122551577</v>
      </c>
    </row>
    <row r="10" spans="1:25">
      <c r="A10" t="s">
        <v>17</v>
      </c>
      <c r="B10">
        <v>0</v>
      </c>
      <c r="C10">
        <v>-0.3</v>
      </c>
      <c r="D10">
        <v>-0.3</v>
      </c>
      <c r="E10">
        <f>AVERAGE(B10:D10)</f>
        <v>-0.19999999999999998</v>
      </c>
      <c r="F10">
        <f>_xlfn.STDEV.S(B10:D10)</f>
        <v>0.17320508075688773</v>
      </c>
      <c r="G10" s="6"/>
      <c r="H10" t="s">
        <v>17</v>
      </c>
      <c r="I10">
        <v>-3</v>
      </c>
      <c r="J10">
        <v>-2.7</v>
      </c>
      <c r="K10">
        <v>-3</v>
      </c>
      <c r="L10">
        <f>AVERAGE(I10:K10)</f>
        <v>-2.9</v>
      </c>
      <c r="M10">
        <f>_xlfn.STDEV.S(I10:K10)</f>
        <v>0.17320508075688762</v>
      </c>
      <c r="N10" s="6"/>
      <c r="O10" t="s">
        <v>17</v>
      </c>
      <c r="P10">
        <v>-6</v>
      </c>
      <c r="Q10">
        <v>-5.9</v>
      </c>
      <c r="R10">
        <v>-6</v>
      </c>
      <c r="S10">
        <f>AVERAGE(P10:R10)</f>
        <v>-5.9666666666666659</v>
      </c>
      <c r="T10">
        <f>_xlfn.STDEV.S(P10:R10)</f>
        <v>5.7735026918962373E-2</v>
      </c>
      <c r="W10" t="s">
        <v>18</v>
      </c>
      <c r="X10" s="14"/>
    </row>
    <row r="11" spans="1:25">
      <c r="A11" t="s">
        <v>19</v>
      </c>
      <c r="B11">
        <v>19</v>
      </c>
      <c r="C11">
        <v>19</v>
      </c>
      <c r="D11">
        <v>19</v>
      </c>
      <c r="E11">
        <f>AVERAGE(B11:D11)</f>
        <v>19</v>
      </c>
      <c r="F11">
        <f>_xlfn.STDEV.S(B11:D11)</f>
        <v>0</v>
      </c>
      <c r="G11" s="6"/>
      <c r="H11" t="s">
        <v>19</v>
      </c>
      <c r="I11">
        <v>36</v>
      </c>
      <c r="J11">
        <v>35</v>
      </c>
      <c r="K11">
        <v>34</v>
      </c>
      <c r="L11">
        <f>AVERAGE(I11:K11)</f>
        <v>35</v>
      </c>
      <c r="M11">
        <f>_xlfn.STDEV.S(I11:K11)</f>
        <v>1</v>
      </c>
      <c r="N11" s="6"/>
      <c r="O11" t="s">
        <v>19</v>
      </c>
      <c r="P11">
        <v>54</v>
      </c>
      <c r="Q11">
        <v>59</v>
      </c>
      <c r="R11">
        <v>50</v>
      </c>
      <c r="S11">
        <f>AVERAGE(P11:R11)</f>
        <v>54.333333333333336</v>
      </c>
      <c r="T11">
        <f>_xlfn.STDEV.S(P11:R11)</f>
        <v>4.5092497528228943</v>
      </c>
      <c r="W11" t="s">
        <v>20</v>
      </c>
      <c r="X11" s="14"/>
    </row>
    <row r="12" spans="1:25">
      <c r="A12" t="s">
        <v>21</v>
      </c>
      <c r="B12">
        <v>93</v>
      </c>
      <c r="C12">
        <v>93</v>
      </c>
      <c r="D12">
        <v>94</v>
      </c>
      <c r="E12">
        <f>AVERAGE(B12:D12)</f>
        <v>93.333333333333329</v>
      </c>
      <c r="F12">
        <f>_xlfn.STDEV.S(B12:D12)</f>
        <v>0.57735026918962573</v>
      </c>
      <c r="G12" s="6"/>
      <c r="H12" t="s">
        <v>21</v>
      </c>
      <c r="I12">
        <v>134</v>
      </c>
      <c r="J12">
        <v>134</v>
      </c>
      <c r="K12">
        <v>134</v>
      </c>
      <c r="L12">
        <f>AVERAGE(I12:K12)</f>
        <v>134</v>
      </c>
      <c r="M12">
        <f>_xlfn.STDEV.S(I12:K12)</f>
        <v>0</v>
      </c>
      <c r="N12" s="6"/>
      <c r="O12" t="s">
        <v>21</v>
      </c>
      <c r="P12">
        <v>180</v>
      </c>
      <c r="Q12">
        <v>179</v>
      </c>
      <c r="R12">
        <v>179</v>
      </c>
      <c r="S12">
        <f>AVERAGE(P12:R12)</f>
        <v>179.33333333333334</v>
      </c>
      <c r="T12">
        <f>_xlfn.STDEV.S(P12:R12)</f>
        <v>0.57735026918962584</v>
      </c>
    </row>
    <row r="13" spans="1:25">
      <c r="A13" t="s">
        <v>22</v>
      </c>
      <c r="B13">
        <v>2.9</v>
      </c>
      <c r="C13">
        <v>2.9</v>
      </c>
      <c r="D13">
        <v>2.9</v>
      </c>
      <c r="E13">
        <f>AVERAGE(B13:D13)</f>
        <v>2.9</v>
      </c>
      <c r="F13">
        <f>_xlfn.STDEV.S(B13:D13)</f>
        <v>0</v>
      </c>
      <c r="G13" s="6"/>
      <c r="H13" t="s">
        <v>22</v>
      </c>
      <c r="I13">
        <v>4.2</v>
      </c>
      <c r="J13">
        <v>4.2</v>
      </c>
      <c r="K13">
        <v>4.2</v>
      </c>
      <c r="L13">
        <f>AVERAGE(I13:K13)</f>
        <v>4.2</v>
      </c>
      <c r="M13">
        <f>_xlfn.STDEV.S(I13:K13)</f>
        <v>0</v>
      </c>
      <c r="N13" s="6"/>
      <c r="O13" t="s">
        <v>22</v>
      </c>
      <c r="P13">
        <v>5.9</v>
      </c>
      <c r="Q13">
        <v>5.9</v>
      </c>
      <c r="R13">
        <v>5.9</v>
      </c>
      <c r="S13">
        <f>AVERAGE(P13:R13)</f>
        <v>5.9000000000000012</v>
      </c>
      <c r="T13">
        <f>_xlfn.STDEV.S(P13:R13)</f>
        <v>1.0877919644084146E-15</v>
      </c>
      <c r="W13" t="s">
        <v>23</v>
      </c>
    </row>
    <row r="14" spans="1:25">
      <c r="G14" s="6"/>
      <c r="N14" s="6"/>
      <c r="W14" t="s">
        <v>24</v>
      </c>
    </row>
    <row r="15" spans="1:25">
      <c r="A15" t="s">
        <v>25</v>
      </c>
      <c r="B15">
        <v>25.8</v>
      </c>
      <c r="C15">
        <v>26.1</v>
      </c>
      <c r="D15">
        <v>26</v>
      </c>
      <c r="E15">
        <f>AVERAGE(B15:D15)</f>
        <v>25.966666666666669</v>
      </c>
      <c r="F15">
        <f>_xlfn.STDEV.S(B15:D15)</f>
        <v>0.15275252316519489</v>
      </c>
      <c r="G15" s="6"/>
      <c r="H15" t="s">
        <v>25</v>
      </c>
      <c r="I15">
        <v>39</v>
      </c>
      <c r="J15">
        <v>38.799999999999997</v>
      </c>
      <c r="K15">
        <v>40.299999999999997</v>
      </c>
      <c r="L15">
        <f>AVERAGE(I15:K15)</f>
        <v>39.366666666666667</v>
      </c>
      <c r="M15">
        <f>_xlfn.STDEV.S(I15:K15)</f>
        <v>0.81445278152470701</v>
      </c>
      <c r="N15" s="6"/>
      <c r="O15" t="s">
        <v>25</v>
      </c>
      <c r="P15">
        <v>43</v>
      </c>
      <c r="Q15">
        <v>44.6</v>
      </c>
      <c r="R15">
        <v>44.2</v>
      </c>
      <c r="S15">
        <f>AVERAGE(P15:R15)</f>
        <v>43.933333333333337</v>
      </c>
      <c r="T15">
        <f>_xlfn.STDEV.S(P15:R15)</f>
        <v>0.83266639978645418</v>
      </c>
    </row>
    <row r="16" spans="1:25">
      <c r="A16" t="s">
        <v>26</v>
      </c>
      <c r="B16">
        <v>0</v>
      </c>
      <c r="C16">
        <v>0</v>
      </c>
      <c r="D16">
        <v>0</v>
      </c>
      <c r="E16">
        <f>AVERAGE(B16:D16)</f>
        <v>0</v>
      </c>
      <c r="F16">
        <f>_xlfn.STDEV.S(B16:D16)</f>
        <v>0</v>
      </c>
      <c r="G16" s="6"/>
      <c r="H16" t="s">
        <v>26</v>
      </c>
      <c r="I16">
        <v>-1.9</v>
      </c>
      <c r="J16">
        <v>-1.7</v>
      </c>
      <c r="K16">
        <v>-1.9</v>
      </c>
      <c r="L16">
        <f>AVERAGE(I16:K16)</f>
        <v>-1.8333333333333333</v>
      </c>
      <c r="M16">
        <f>_xlfn.STDEV.S(I16:K16)</f>
        <v>0.11547005383792512</v>
      </c>
      <c r="N16" s="6"/>
      <c r="O16" t="s">
        <v>26</v>
      </c>
      <c r="P16">
        <v>-4</v>
      </c>
      <c r="Q16">
        <v>-4</v>
      </c>
      <c r="R16">
        <v>-4.0999999999999996</v>
      </c>
      <c r="S16">
        <f>AVERAGE(P16:R16)</f>
        <v>-4.0333333333333332</v>
      </c>
      <c r="T16">
        <f>_xlfn.STDEV.S(P16:R16)</f>
        <v>5.7735026918962373E-2</v>
      </c>
      <c r="W16" t="s">
        <v>27</v>
      </c>
    </row>
    <row r="17" spans="1:23">
      <c r="A17" t="s">
        <v>28</v>
      </c>
      <c r="B17">
        <v>23</v>
      </c>
      <c r="C17">
        <v>23</v>
      </c>
      <c r="D17">
        <v>23</v>
      </c>
      <c r="E17">
        <f>AVERAGE(B17:D17)</f>
        <v>23</v>
      </c>
      <c r="F17">
        <f>_xlfn.STDEV.S(B17:D17)</f>
        <v>0</v>
      </c>
      <c r="G17" s="6"/>
      <c r="H17" t="s">
        <v>28</v>
      </c>
      <c r="I17">
        <v>43</v>
      </c>
      <c r="J17">
        <v>44</v>
      </c>
      <c r="K17">
        <v>44</v>
      </c>
      <c r="L17">
        <f>AVERAGE(I17:K17)</f>
        <v>43.666666666666664</v>
      </c>
      <c r="M17">
        <f>_xlfn.STDEV.S(I17:K17)</f>
        <v>0.57735026918962584</v>
      </c>
      <c r="N17" s="6"/>
      <c r="O17" t="s">
        <v>28</v>
      </c>
      <c r="P17">
        <v>73</v>
      </c>
      <c r="Q17">
        <v>72</v>
      </c>
      <c r="R17">
        <v>74</v>
      </c>
      <c r="S17">
        <f>AVERAGE(P17:R17)</f>
        <v>73</v>
      </c>
      <c r="T17">
        <f>_xlfn.STDEV.S(P17:R17)</f>
        <v>1</v>
      </c>
      <c r="W17" t="s">
        <v>29</v>
      </c>
    </row>
    <row r="18" spans="1:23">
      <c r="A18" t="s">
        <v>30</v>
      </c>
      <c r="B18">
        <v>89</v>
      </c>
      <c r="C18">
        <v>89</v>
      </c>
      <c r="D18">
        <v>89</v>
      </c>
      <c r="E18">
        <f>AVERAGE(B18:D18)</f>
        <v>89</v>
      </c>
      <c r="F18">
        <f>_xlfn.STDEV.S(B18:D18)</f>
        <v>0</v>
      </c>
      <c r="G18" s="6"/>
      <c r="H18" t="s">
        <v>30</v>
      </c>
      <c r="I18">
        <v>135</v>
      </c>
      <c r="J18">
        <v>135</v>
      </c>
      <c r="K18">
        <v>135</v>
      </c>
      <c r="L18">
        <f>AVERAGE(I18:K18)</f>
        <v>135</v>
      </c>
      <c r="M18">
        <f>_xlfn.STDEV.S(I18:K18)</f>
        <v>0</v>
      </c>
      <c r="N18" s="6"/>
      <c r="O18" t="s">
        <v>30</v>
      </c>
      <c r="P18">
        <v>180</v>
      </c>
      <c r="Q18">
        <v>178</v>
      </c>
      <c r="R18">
        <v>178</v>
      </c>
      <c r="S18">
        <f>AVERAGE(P18:R18)</f>
        <v>178.66666666666666</v>
      </c>
      <c r="T18">
        <f>_xlfn.STDEV.S(P18:R18)</f>
        <v>1.1547005383792515</v>
      </c>
    </row>
    <row r="19" spans="1:23">
      <c r="A19" t="s">
        <v>31</v>
      </c>
      <c r="B19">
        <v>2.9</v>
      </c>
      <c r="C19">
        <v>2.8</v>
      </c>
      <c r="D19">
        <v>2.9</v>
      </c>
      <c r="E19">
        <f>AVERAGE(B19:D19)</f>
        <v>2.8666666666666667</v>
      </c>
      <c r="F19">
        <f>_xlfn.STDEV.S(B19:D19)</f>
        <v>5.773502691896263E-2</v>
      </c>
      <c r="G19" s="6"/>
      <c r="H19" t="s">
        <v>31</v>
      </c>
      <c r="I19">
        <v>4.18</v>
      </c>
      <c r="J19">
        <v>4.18</v>
      </c>
      <c r="K19">
        <v>4.18</v>
      </c>
      <c r="L19">
        <f>AVERAGE(I19:K19)</f>
        <v>4.18</v>
      </c>
      <c r="M19">
        <f>_xlfn.STDEV.S(I19:K19)</f>
        <v>0</v>
      </c>
      <c r="N19" s="6"/>
      <c r="O19" t="s">
        <v>31</v>
      </c>
      <c r="P19">
        <v>5.8</v>
      </c>
      <c r="Q19">
        <v>5.7</v>
      </c>
      <c r="R19">
        <v>5.7</v>
      </c>
      <c r="S19">
        <f>AVERAGE(P19:R19)</f>
        <v>5.7333333333333334</v>
      </c>
      <c r="T19">
        <f>_xlfn.STDEV.S(P19:R19)</f>
        <v>5.7735026918962373E-2</v>
      </c>
    </row>
    <row r="20" spans="1:23">
      <c r="G20" s="6"/>
      <c r="N20" s="6"/>
    </row>
    <row r="21" spans="1:23">
      <c r="A21" t="s">
        <v>32</v>
      </c>
      <c r="B21">
        <v>16</v>
      </c>
      <c r="C21">
        <v>15.3</v>
      </c>
      <c r="D21">
        <v>15.1</v>
      </c>
      <c r="E21">
        <f>AVERAGE(B21:D21)</f>
        <v>15.466666666666667</v>
      </c>
      <c r="F21">
        <f>_xlfn.STDEV.S(B21:D21)</f>
        <v>0.47258156262526085</v>
      </c>
      <c r="G21" s="6"/>
      <c r="H21" t="s">
        <v>32</v>
      </c>
      <c r="I21">
        <v>25.6</v>
      </c>
      <c r="J21">
        <v>25.4</v>
      </c>
      <c r="K21">
        <v>25.3</v>
      </c>
      <c r="L21">
        <f>AVERAGE(I21:K21)</f>
        <v>25.433333333333334</v>
      </c>
      <c r="M21">
        <f>_xlfn.STDEV.S(I21:K21)</f>
        <v>0.1527525231651953</v>
      </c>
      <c r="N21" s="6"/>
      <c r="O21" t="s">
        <v>32</v>
      </c>
      <c r="P21">
        <v>34.6</v>
      </c>
      <c r="Q21">
        <v>34.799999999999997</v>
      </c>
      <c r="R21">
        <v>34.5</v>
      </c>
      <c r="S21">
        <f>AVERAGE(P21:R21)</f>
        <v>34.633333333333333</v>
      </c>
      <c r="T21">
        <f>_xlfn.STDEV.S(P21:R21)</f>
        <v>0.15275252316519294</v>
      </c>
    </row>
    <row r="22" spans="1:23">
      <c r="A22" t="s">
        <v>33</v>
      </c>
      <c r="B22">
        <v>0.25</v>
      </c>
      <c r="C22">
        <v>0.25</v>
      </c>
      <c r="D22">
        <v>0.25</v>
      </c>
      <c r="E22">
        <f>AVERAGE(B22:D22)</f>
        <v>0.25</v>
      </c>
      <c r="F22">
        <f t="shared" ref="F22:F23" si="0">_xlfn.STDEV.S(B22:D22)</f>
        <v>0</v>
      </c>
      <c r="G22" s="6"/>
      <c r="H22" t="s">
        <v>33</v>
      </c>
      <c r="I22">
        <v>0</v>
      </c>
      <c r="J22">
        <v>0</v>
      </c>
      <c r="K22">
        <v>0</v>
      </c>
      <c r="L22">
        <f>AVERAGE(I22:K22)</f>
        <v>0</v>
      </c>
      <c r="M22">
        <f t="shared" ref="M22:M23" si="1">_xlfn.STDEV.S(I22:K22)</f>
        <v>0</v>
      </c>
      <c r="N22" s="6"/>
      <c r="O22" t="s">
        <v>33</v>
      </c>
      <c r="P22">
        <v>-1</v>
      </c>
      <c r="Q22">
        <v>-1</v>
      </c>
      <c r="R22">
        <v>-1</v>
      </c>
      <c r="S22">
        <f>AVERAGE(P22:R22)</f>
        <v>-1</v>
      </c>
      <c r="T22">
        <f t="shared" ref="T22:T23" si="2">_xlfn.STDEV.S(P22:R22)</f>
        <v>0</v>
      </c>
    </row>
    <row r="23" spans="1:23">
      <c r="A23" t="s">
        <v>34</v>
      </c>
      <c r="B23">
        <v>31</v>
      </c>
      <c r="C23">
        <v>32</v>
      </c>
      <c r="D23">
        <v>32</v>
      </c>
      <c r="E23">
        <f t="shared" ref="E23" si="3">AVERAGE(B23:D23)</f>
        <v>31.666666666666668</v>
      </c>
      <c r="F23">
        <f t="shared" si="0"/>
        <v>0.57735026918962584</v>
      </c>
      <c r="G23" s="6"/>
      <c r="H23" t="s">
        <v>34</v>
      </c>
      <c r="I23">
        <v>62</v>
      </c>
      <c r="J23">
        <v>62</v>
      </c>
      <c r="K23">
        <v>61</v>
      </c>
      <c r="L23">
        <f t="shared" ref="L23" si="4">AVERAGE(I23:K23)</f>
        <v>61.666666666666664</v>
      </c>
      <c r="M23">
        <f t="shared" si="1"/>
        <v>0.57735026918962584</v>
      </c>
      <c r="N23" s="6"/>
      <c r="O23" t="s">
        <v>34</v>
      </c>
      <c r="P23">
        <v>105</v>
      </c>
      <c r="Q23">
        <v>104</v>
      </c>
      <c r="R23">
        <v>104</v>
      </c>
      <c r="S23">
        <f t="shared" ref="S23" si="5">AVERAGE(P23:R23)</f>
        <v>104.33333333333333</v>
      </c>
      <c r="T23">
        <f t="shared" si="2"/>
        <v>0.57735026918962573</v>
      </c>
    </row>
    <row r="24" spans="1:23">
      <c r="A24" t="s">
        <v>35</v>
      </c>
      <c r="B24">
        <v>95</v>
      </c>
      <c r="C24">
        <v>95</v>
      </c>
      <c r="D24">
        <v>95</v>
      </c>
      <c r="E24">
        <f>AVERAGE(B24:D24)</f>
        <v>95</v>
      </c>
      <c r="F24">
        <f>_xlfn.STDEV.S(B24:D24)</f>
        <v>0</v>
      </c>
      <c r="G24" s="6"/>
      <c r="H24" t="s">
        <v>35</v>
      </c>
      <c r="I24">
        <v>134</v>
      </c>
      <c r="J24">
        <v>134</v>
      </c>
      <c r="K24">
        <v>134</v>
      </c>
      <c r="L24">
        <f>AVERAGE(I24:K24)</f>
        <v>134</v>
      </c>
      <c r="M24">
        <f>_xlfn.STDEV.S(I24:K24)</f>
        <v>0</v>
      </c>
      <c r="N24" s="6"/>
      <c r="O24" t="s">
        <v>35</v>
      </c>
      <c r="P24">
        <v>179</v>
      </c>
      <c r="Q24">
        <v>179</v>
      </c>
      <c r="R24">
        <v>179</v>
      </c>
      <c r="S24">
        <f>AVERAGE(P24:R24)</f>
        <v>179</v>
      </c>
      <c r="T24">
        <f>_xlfn.STDEV.S(P24:R24)</f>
        <v>0</v>
      </c>
    </row>
    <row r="25" spans="1:23">
      <c r="A25" t="s">
        <v>36</v>
      </c>
      <c r="B25">
        <v>2.79</v>
      </c>
      <c r="C25">
        <v>2.79</v>
      </c>
      <c r="D25">
        <v>2.79</v>
      </c>
      <c r="E25">
        <f>AVERAGE(B25:D25)</f>
        <v>2.7900000000000005</v>
      </c>
      <c r="F25">
        <f>_xlfn.STDEV.S(B25:D25)</f>
        <v>5.4389598220420729E-16</v>
      </c>
      <c r="G25" s="6"/>
      <c r="H25" t="s">
        <v>36</v>
      </c>
      <c r="I25">
        <v>3.8</v>
      </c>
      <c r="J25">
        <v>3.8</v>
      </c>
      <c r="K25">
        <v>3.8</v>
      </c>
      <c r="L25">
        <f>AVERAGE(I25:K25)</f>
        <v>3.7999999999999994</v>
      </c>
      <c r="M25">
        <f>_xlfn.STDEV.S(I25:K25)</f>
        <v>5.4389598220420729E-16</v>
      </c>
      <c r="N25" s="6"/>
      <c r="O25" t="s">
        <v>36</v>
      </c>
      <c r="P25">
        <v>5</v>
      </c>
      <c r="Q25">
        <v>5</v>
      </c>
      <c r="R25">
        <v>5</v>
      </c>
      <c r="S25">
        <f>AVERAGE(P25:R25)</f>
        <v>5</v>
      </c>
      <c r="T25">
        <f>_xlfn.STDEV.S(P25:R25)</f>
        <v>0</v>
      </c>
    </row>
    <row r="26" spans="1:23">
      <c r="G26" s="6"/>
      <c r="N26" s="6"/>
    </row>
    <row r="27" spans="1:23">
      <c r="A27" t="s">
        <v>37</v>
      </c>
      <c r="B27">
        <v>8.5</v>
      </c>
      <c r="C27">
        <v>8.5</v>
      </c>
      <c r="D27">
        <v>8.5</v>
      </c>
      <c r="E27">
        <f>AVERAGE(B27:D27)</f>
        <v>8.5</v>
      </c>
      <c r="F27">
        <f>_xlfn.STDEV.S(B27:D27)</f>
        <v>0</v>
      </c>
      <c r="G27" s="6"/>
      <c r="H27" t="s">
        <v>37</v>
      </c>
      <c r="I27">
        <v>12.1</v>
      </c>
      <c r="J27">
        <v>12.2</v>
      </c>
      <c r="K27">
        <v>12.2</v>
      </c>
      <c r="L27">
        <f>AVERAGE(I27:K27)</f>
        <v>12.166666666666666</v>
      </c>
      <c r="M27">
        <f>_xlfn.STDEV.S(I27:K27)</f>
        <v>5.7735026918962373E-2</v>
      </c>
      <c r="N27" s="6"/>
      <c r="O27" t="s">
        <v>37</v>
      </c>
      <c r="P27">
        <v>16.2</v>
      </c>
      <c r="Q27">
        <v>16.100000000000001</v>
      </c>
      <c r="R27">
        <v>15.9</v>
      </c>
      <c r="S27">
        <f>AVERAGE(P27:R27)</f>
        <v>16.066666666666666</v>
      </c>
      <c r="T27">
        <f>_xlfn.STDEV.S(P27:R27)</f>
        <v>0.15275252316519433</v>
      </c>
    </row>
    <row r="28" spans="1:23">
      <c r="A28" t="s">
        <v>38</v>
      </c>
      <c r="B28">
        <v>0.5</v>
      </c>
      <c r="C28">
        <v>0.5</v>
      </c>
      <c r="D28">
        <v>0.5</v>
      </c>
      <c r="E28">
        <f>AVERAGE(B28:D28)</f>
        <v>0.5</v>
      </c>
      <c r="F28">
        <f>_xlfn.STDEV.S(B28:D28)</f>
        <v>0</v>
      </c>
      <c r="G28" s="6"/>
      <c r="H28" t="s">
        <v>38</v>
      </c>
      <c r="I28">
        <v>0.5</v>
      </c>
      <c r="J28">
        <v>0.5</v>
      </c>
      <c r="K28">
        <v>0.5</v>
      </c>
      <c r="L28">
        <f>AVERAGE(I28:K28)</f>
        <v>0.5</v>
      </c>
      <c r="M28">
        <f>_xlfn.STDEV.S(I28:K28)</f>
        <v>0</v>
      </c>
      <c r="N28" s="6"/>
      <c r="O28" t="s">
        <v>38</v>
      </c>
      <c r="P28">
        <v>0.4</v>
      </c>
      <c r="Q28">
        <v>0.45</v>
      </c>
      <c r="R28">
        <v>0.45</v>
      </c>
      <c r="S28">
        <f>AVERAGE(P28:R28)</f>
        <v>0.43333333333333335</v>
      </c>
      <c r="T28">
        <f>_xlfn.STDEV.S(P28:R28)</f>
        <v>2.886751345948128E-2</v>
      </c>
    </row>
    <row r="29" spans="1:23">
      <c r="A29" t="s">
        <v>39</v>
      </c>
      <c r="B29">
        <v>36</v>
      </c>
      <c r="C29">
        <v>36</v>
      </c>
      <c r="D29">
        <v>37</v>
      </c>
      <c r="E29">
        <f>AVERAGE(B29:D29)</f>
        <v>36.333333333333336</v>
      </c>
      <c r="F29">
        <f>_xlfn.STDEV.S(B29:D29)</f>
        <v>0.57735026918962584</v>
      </c>
      <c r="G29" s="6"/>
      <c r="H29" t="s">
        <v>39</v>
      </c>
      <c r="I29">
        <v>74</v>
      </c>
      <c r="J29">
        <v>73</v>
      </c>
      <c r="K29">
        <v>74</v>
      </c>
      <c r="L29">
        <f>AVERAGE(I29:K29)</f>
        <v>73.666666666666671</v>
      </c>
      <c r="M29">
        <f>_xlfn.STDEV.S(I29:K29)</f>
        <v>0.57735026918962573</v>
      </c>
      <c r="N29" s="6"/>
      <c r="O29" t="s">
        <v>39</v>
      </c>
      <c r="P29">
        <v>126</v>
      </c>
      <c r="Q29">
        <v>126</v>
      </c>
      <c r="R29">
        <v>126</v>
      </c>
      <c r="S29">
        <f>AVERAGE(P29:R29)</f>
        <v>126</v>
      </c>
      <c r="T29">
        <f>_xlfn.STDEV.S(P29:R29)</f>
        <v>0</v>
      </c>
    </row>
    <row r="30" spans="1:23">
      <c r="A30" t="s">
        <v>40</v>
      </c>
      <c r="B30">
        <v>95</v>
      </c>
      <c r="C30">
        <v>95</v>
      </c>
      <c r="D30">
        <v>95</v>
      </c>
      <c r="E30">
        <f>AVERAGE(B30:D30)</f>
        <v>95</v>
      </c>
      <c r="F30">
        <f>_xlfn.STDEV.S(B30:D30)</f>
        <v>0</v>
      </c>
      <c r="G30" s="6"/>
      <c r="H30" t="s">
        <v>40</v>
      </c>
      <c r="I30">
        <v>135</v>
      </c>
      <c r="J30">
        <v>135</v>
      </c>
      <c r="K30">
        <v>135</v>
      </c>
      <c r="L30">
        <f>AVERAGE(I30:K30)</f>
        <v>135</v>
      </c>
      <c r="M30">
        <f>_xlfn.STDEV.S(I30:K30)</f>
        <v>0</v>
      </c>
      <c r="N30" s="6"/>
      <c r="O30" t="s">
        <v>40</v>
      </c>
      <c r="P30">
        <v>180</v>
      </c>
      <c r="Q30">
        <v>180</v>
      </c>
      <c r="R30">
        <v>180</v>
      </c>
      <c r="S30">
        <f>AVERAGE(P30:R30)</f>
        <v>180</v>
      </c>
      <c r="T30">
        <f>_xlfn.STDEV.S(P30:R30)</f>
        <v>0</v>
      </c>
    </row>
    <row r="31" spans="1:23">
      <c r="A31" t="s">
        <v>41</v>
      </c>
      <c r="B31">
        <v>2.62</v>
      </c>
      <c r="C31">
        <v>2.62</v>
      </c>
      <c r="D31">
        <v>2.62</v>
      </c>
      <c r="E31">
        <f>AVERAGE(B31:D31)</f>
        <v>2.62</v>
      </c>
      <c r="F31">
        <f>_xlfn.STDEV.S(B31:D31)</f>
        <v>0</v>
      </c>
      <c r="G31" s="6"/>
      <c r="H31" t="s">
        <v>41</v>
      </c>
      <c r="I31">
        <v>3.5</v>
      </c>
      <c r="J31">
        <v>3.5</v>
      </c>
      <c r="K31">
        <v>3.5</v>
      </c>
      <c r="L31">
        <f>AVERAGE(I31:K31)</f>
        <v>3.5</v>
      </c>
      <c r="M31">
        <f>_xlfn.STDEV.S(I31:K31)</f>
        <v>0</v>
      </c>
      <c r="N31" s="6"/>
      <c r="O31" t="s">
        <v>41</v>
      </c>
      <c r="P31">
        <v>4.4249999999999998</v>
      </c>
      <c r="Q31">
        <v>4.4249999999999998</v>
      </c>
      <c r="R31">
        <v>4.4249999999999998</v>
      </c>
      <c r="S31">
        <f>AVERAGE(P31:R31)</f>
        <v>4.4249999999999998</v>
      </c>
      <c r="T31">
        <f>_xlfn.STDEV.S(P31:R31)</f>
        <v>0</v>
      </c>
    </row>
    <row r="32" spans="1:23">
      <c r="A32" s="11" t="s">
        <v>42</v>
      </c>
      <c r="B32" s="10"/>
      <c r="C32" s="10"/>
      <c r="D32" s="10"/>
      <c r="E32" s="10"/>
      <c r="F32" s="10"/>
      <c r="G32" s="6"/>
      <c r="H32" s="11" t="s">
        <v>42</v>
      </c>
      <c r="I32" s="10"/>
      <c r="J32" s="10"/>
      <c r="K32" s="10"/>
      <c r="L32" s="10"/>
      <c r="M32" s="10"/>
      <c r="N32" s="6"/>
      <c r="O32" s="11" t="s">
        <v>42</v>
      </c>
      <c r="P32" s="10"/>
      <c r="Q32" s="10"/>
      <c r="R32" s="10"/>
      <c r="S32" s="10"/>
      <c r="T32" s="10"/>
    </row>
    <row r="33" spans="1:20">
      <c r="A33" t="s">
        <v>43</v>
      </c>
      <c r="B33">
        <f>(0.2071*B3-0.0479)*$A$65</f>
        <v>3.0031585920000001</v>
      </c>
      <c r="C33">
        <f t="shared" ref="C33:D33" si="6">(0.2071*C3-0.0479)*$A$65</f>
        <v>2.9843704799999999</v>
      </c>
      <c r="D33">
        <f t="shared" si="6"/>
        <v>2.9374001999999999</v>
      </c>
      <c r="E33">
        <f t="shared" ref="E33" si="7">AVERAGE(B33:D33)</f>
        <v>2.9749764239999998</v>
      </c>
      <c r="F33">
        <f t="shared" ref="F33" si="8">_xlfn.STDEV.S(B33:D33)</f>
        <v>3.387075059258024E-2</v>
      </c>
      <c r="G33" s="6"/>
      <c r="H33" t="s">
        <v>44</v>
      </c>
      <c r="I33">
        <f>(0.2071*I3-0.0479)*$A$65</f>
        <v>3.6983187359999996</v>
      </c>
      <c r="J33">
        <f t="shared" ref="J33:K33" si="9">(0.2071*J3-0.0479)*$A$65</f>
        <v>3.6795306239999994</v>
      </c>
      <c r="K33">
        <f t="shared" si="9"/>
        <v>3.8861998560000002</v>
      </c>
      <c r="L33">
        <f t="shared" ref="L33:L35" si="10">AVERAGE(I33:K33)</f>
        <v>3.7546830720000002</v>
      </c>
      <c r="M33">
        <f t="shared" ref="M33:M35" si="11">_xlfn.STDEV.S(I33:K33)</f>
        <v>0.11428362368864674</v>
      </c>
      <c r="N33" s="6"/>
      <c r="O33" t="s">
        <v>44</v>
      </c>
      <c r="P33">
        <f>(0.2071*P3-0.0479)*$A$65</f>
        <v>4.5813600000000001</v>
      </c>
      <c r="Q33">
        <f t="shared" ref="Q33:R33" si="12">(0.2071*Q3-0.0479)*$A$65</f>
        <v>4.5437837760000006</v>
      </c>
      <c r="R33">
        <f t="shared" si="12"/>
        <v>4.4780253839999995</v>
      </c>
      <c r="S33">
        <f t="shared" ref="S33:S35" si="13">AVERAGE(P33:R33)</f>
        <v>4.5343897200000001</v>
      </c>
      <c r="T33">
        <f t="shared" ref="T33:T35" si="14">_xlfn.STDEV.S(P33:R33)</f>
        <v>5.2303890219229911E-2</v>
      </c>
    </row>
    <row r="34" spans="1:20">
      <c r="A34" t="s">
        <v>45</v>
      </c>
      <c r="B34">
        <f>(0.2071*B9-0.0479)*$A$65</f>
        <v>2.862247752</v>
      </c>
      <c r="C34">
        <f t="shared" ref="C34:D34" si="15">(0.2071*C9-0.0479)*$A$65</f>
        <v>2.8810358639999998</v>
      </c>
      <c r="D34">
        <f t="shared" si="15"/>
        <v>2.8904299200000003</v>
      </c>
      <c r="E34">
        <f t="shared" ref="E34" si="16">AVERAGE(B34:D34)</f>
        <v>2.8779045120000002</v>
      </c>
      <c r="F34">
        <f t="shared" ref="F34" si="17">_xlfn.STDEV.S(B34:D34)</f>
        <v>1.4349657567551456E-2</v>
      </c>
      <c r="G34" s="6"/>
      <c r="H34" t="s">
        <v>46</v>
      </c>
      <c r="I34">
        <f>(0.2071*I9-0.0479)*$A$65</f>
        <v>3.8861998560000002</v>
      </c>
      <c r="J34">
        <f t="shared" ref="J34:K34" si="18">(0.2071*J9-0.0479)*$A$65</f>
        <v>3.7640771280000003</v>
      </c>
      <c r="K34">
        <f t="shared" si="18"/>
        <v>3.6795306239999994</v>
      </c>
      <c r="L34">
        <f t="shared" si="10"/>
        <v>3.776602536</v>
      </c>
      <c r="M34">
        <f t="shared" si="11"/>
        <v>0.10390239288891462</v>
      </c>
      <c r="N34" s="6"/>
      <c r="O34" t="s">
        <v>46</v>
      </c>
      <c r="P34">
        <f>(0.2071*P9-0.0479)*$A$65</f>
        <v>4.5156016079999999</v>
      </c>
      <c r="Q34">
        <f t="shared" ref="Q34" si="19">(0.2071*Q9-0.0479)*$A$65</f>
        <v>4.3652967120000001</v>
      </c>
      <c r="R34">
        <f>(0.2071*R10-0.0479)*$A$65</f>
        <v>-0.58537079999999997</v>
      </c>
      <c r="S34">
        <f t="shared" si="13"/>
        <v>2.7651758399999999</v>
      </c>
      <c r="T34">
        <f t="shared" si="14"/>
        <v>2.9026315612822544</v>
      </c>
    </row>
    <row r="35" spans="1:20">
      <c r="A35" t="s">
        <v>47</v>
      </c>
      <c r="B35">
        <f>(0.2071*B15-0.0479)*$A$65</f>
        <v>2.4019390079999998</v>
      </c>
      <c r="C35">
        <f t="shared" ref="C35:D35" si="20">(0.2071*C15-0.0479)*$A$65</f>
        <v>2.4301211760000001</v>
      </c>
      <c r="D35">
        <f t="shared" si="20"/>
        <v>2.42072712</v>
      </c>
      <c r="E35">
        <f t="shared" ref="E35" si="21">AVERAGE(B35:D35)</f>
        <v>2.417595768</v>
      </c>
      <c r="F35">
        <f t="shared" ref="F35" si="22">_xlfn.STDEV.S(B35:D35)</f>
        <v>1.4349657567551506E-2</v>
      </c>
      <c r="G35" s="6"/>
      <c r="H35" t="s">
        <v>48</v>
      </c>
      <c r="I35">
        <f>(0.2071*I15-0.0479)*$A$65</f>
        <v>3.6419543999999999</v>
      </c>
      <c r="J35">
        <f t="shared" ref="J35:K35" si="23">(0.2071*J15-0.0479)*$A$65</f>
        <v>3.6231662879999997</v>
      </c>
      <c r="K35">
        <f t="shared" si="23"/>
        <v>3.7640771280000003</v>
      </c>
      <c r="L35">
        <f t="shared" si="10"/>
        <v>3.6763992719999998</v>
      </c>
      <c r="M35">
        <f t="shared" si="11"/>
        <v>7.6510150389988957E-2</v>
      </c>
      <c r="N35" s="6"/>
      <c r="O35" t="s">
        <v>48</v>
      </c>
      <c r="P35">
        <f>(0.2071*P15-0.0479)*$A$65</f>
        <v>4.0177166399999997</v>
      </c>
      <c r="Q35">
        <f t="shared" ref="Q35:R35" si="24">(0.2071*Q15-0.0479)*$A$65</f>
        <v>4.1680215360000004</v>
      </c>
      <c r="R35">
        <f t="shared" si="24"/>
        <v>4.1304453120000009</v>
      </c>
      <c r="S35">
        <f t="shared" si="13"/>
        <v>4.1053944960000006</v>
      </c>
      <c r="T35">
        <f t="shared" si="14"/>
        <v>7.8221147889123724E-2</v>
      </c>
    </row>
    <row r="36" spans="1:20">
      <c r="A36" t="s">
        <v>49</v>
      </c>
      <c r="B36">
        <f>(0.2071*B21-0.0479)*$A$65</f>
        <v>1.4813215200000001</v>
      </c>
      <c r="C36">
        <f t="shared" ref="C36:D36" si="25">(0.2071*C21-0.0479)*$A$65</f>
        <v>1.4155631280000003</v>
      </c>
      <c r="D36">
        <f t="shared" si="25"/>
        <v>1.3967750160000001</v>
      </c>
      <c r="E36">
        <f>AVERAGE(B36:D36)</f>
        <v>1.4312198880000002</v>
      </c>
      <c r="F36">
        <f>_xlfn.STDEV.S(B36:D36)</f>
        <v>4.4394576638692021E-2</v>
      </c>
      <c r="G36" s="6"/>
      <c r="H36" t="s">
        <v>50</v>
      </c>
      <c r="I36">
        <f>(0.2071*I21-0.0479)*$A$65</f>
        <v>2.3831508960000001</v>
      </c>
      <c r="J36">
        <f t="shared" ref="J36:K36" si="26">(0.2071*J21-0.0479)*$A$65</f>
        <v>2.3643627839999999</v>
      </c>
      <c r="K36">
        <f t="shared" si="26"/>
        <v>2.3549687279999998</v>
      </c>
      <c r="L36">
        <f>AVERAGE(I36:K36)</f>
        <v>2.3674941359999999</v>
      </c>
      <c r="M36">
        <f>_xlfn.STDEV.S(I36:K36)</f>
        <v>1.4349657567551504E-2</v>
      </c>
      <c r="N36" s="6"/>
      <c r="O36" t="s">
        <v>50</v>
      </c>
      <c r="P36">
        <f>(0.2071*P21-0.0479)*$A$65</f>
        <v>3.2286159360000002</v>
      </c>
      <c r="Q36">
        <f t="shared" ref="Q36:R36" si="27">(0.2071*Q21-0.0479)*$A$65</f>
        <v>3.2474040479999995</v>
      </c>
      <c r="R36">
        <f t="shared" si="27"/>
        <v>3.2192218800000001</v>
      </c>
      <c r="S36">
        <f>AVERAGE(P36:R36)</f>
        <v>3.2317472879999998</v>
      </c>
      <c r="T36">
        <f>_xlfn.STDEV.S(P36:R36)</f>
        <v>1.434965756755102E-2</v>
      </c>
    </row>
    <row r="37" spans="1:20">
      <c r="A37" t="s">
        <v>51</v>
      </c>
      <c r="B37">
        <f>(0.2071*B27-0.0479)*$A$65</f>
        <v>0.77676732000000004</v>
      </c>
      <c r="C37">
        <f t="shared" ref="C37:D37" si="28">(0.2071*C27-0.0479)*$A$65</f>
        <v>0.77676732000000004</v>
      </c>
      <c r="D37">
        <f t="shared" si="28"/>
        <v>0.77676732000000004</v>
      </c>
      <c r="E37">
        <f t="shared" ref="E37" si="29">AVERAGE(B37:D37)</f>
        <v>0.77676731999999993</v>
      </c>
      <c r="F37">
        <f t="shared" ref="F37" si="30">_xlfn.STDEV.S(B37:D37)</f>
        <v>1.3597399555105182E-16</v>
      </c>
      <c r="G37" s="6"/>
      <c r="H37" t="s">
        <v>52</v>
      </c>
      <c r="I37" t="e">
        <f>(0.2071*#REF!-0.0479)*$A$65</f>
        <v>#REF!</v>
      </c>
      <c r="J37">
        <f t="shared" ref="J37:K37" si="31">(0.2071*J27-0.0479)*$A$65</f>
        <v>1.124347392</v>
      </c>
      <c r="K37">
        <f t="shared" si="31"/>
        <v>1.124347392</v>
      </c>
      <c r="L37" t="e">
        <f t="shared" ref="L37" si="32">AVERAGE(I37:K37)</f>
        <v>#REF!</v>
      </c>
      <c r="M37" t="e">
        <f t="shared" ref="M37" si="33">_xlfn.STDEV.S(I37:K37)</f>
        <v>#REF!</v>
      </c>
      <c r="N37" s="6"/>
      <c r="O37" t="s">
        <v>52</v>
      </c>
      <c r="P37">
        <f>(0.2071*P27-0.0479)*$A$65</f>
        <v>1.5001096320000002</v>
      </c>
      <c r="Q37">
        <f t="shared" ref="Q37:R37" si="34">(0.2071*Q27-0.0479)*$A$65</f>
        <v>1.4907155760000002</v>
      </c>
      <c r="R37">
        <f t="shared" si="34"/>
        <v>1.4719274640000002</v>
      </c>
      <c r="S37">
        <f t="shared" ref="S37" si="35">AVERAGE(P37:R37)</f>
        <v>1.4875842240000001</v>
      </c>
      <c r="T37">
        <f t="shared" ref="T37" si="36">_xlfn.STDEV.S(P37:R37)</f>
        <v>1.4349657567551384E-2</v>
      </c>
    </row>
    <row r="38" spans="1:20" ht="18.75">
      <c r="A38" s="13" t="s">
        <v>53</v>
      </c>
      <c r="G38" s="6"/>
      <c r="N38" s="6"/>
    </row>
    <row r="39" spans="1:20">
      <c r="A39" t="s">
        <v>54</v>
      </c>
      <c r="B39">
        <f>B4-B5</f>
        <v>-17</v>
      </c>
      <c r="C39">
        <f>C4-C5</f>
        <v>-17</v>
      </c>
      <c r="D39">
        <f>D4-D5</f>
        <v>-17</v>
      </c>
      <c r="E39">
        <f>AVERAGE(B39:D39)</f>
        <v>-17</v>
      </c>
      <c r="F39">
        <f>_xlfn.STDEV.S(B39:D39)</f>
        <v>0</v>
      </c>
      <c r="G39" s="6"/>
      <c r="H39" t="s">
        <v>54</v>
      </c>
      <c r="I39">
        <f>I4-I5</f>
        <v>-37.5</v>
      </c>
      <c r="J39">
        <f>J4-J5</f>
        <v>-34</v>
      </c>
      <c r="K39">
        <f>K4-K5</f>
        <v>-34.5</v>
      </c>
      <c r="L39">
        <f>AVERAGE(I39:K39)</f>
        <v>-35.333333333333336</v>
      </c>
      <c r="M39">
        <f>_xlfn.STDEV.S(I39:K39)</f>
        <v>1.8929694486000912</v>
      </c>
      <c r="N39" s="6"/>
      <c r="O39" t="s">
        <v>54</v>
      </c>
      <c r="P39">
        <f>P4-P5</f>
        <v>-53.7</v>
      </c>
      <c r="Q39">
        <f>Q4-Q5</f>
        <v>-51.9</v>
      </c>
      <c r="R39">
        <f>R4-R5</f>
        <v>-58.5</v>
      </c>
      <c r="S39">
        <f>AVERAGE(P39:R39)</f>
        <v>-54.699999999999996</v>
      </c>
      <c r="T39">
        <f>_xlfn.STDEV.S(P39:R39)</f>
        <v>3.4117444218463961</v>
      </c>
    </row>
    <row r="40" spans="1:20">
      <c r="A40" t="s">
        <v>55</v>
      </c>
      <c r="B40">
        <f>B10-B11</f>
        <v>-19</v>
      </c>
      <c r="C40">
        <f>C10-C11</f>
        <v>-19.3</v>
      </c>
      <c r="D40">
        <f>D10-D11</f>
        <v>-19.3</v>
      </c>
      <c r="E40">
        <f>AVERAGE(B40:D40)</f>
        <v>-19.2</v>
      </c>
      <c r="F40">
        <f>_xlfn.STDEV.S(B40:D40)</f>
        <v>0.17320508075688815</v>
      </c>
      <c r="G40" s="6"/>
      <c r="H40" t="s">
        <v>55</v>
      </c>
      <c r="I40">
        <f>I10-I11</f>
        <v>-39</v>
      </c>
      <c r="J40">
        <f>J10-J11</f>
        <v>-37.700000000000003</v>
      </c>
      <c r="K40">
        <f>K10-K11</f>
        <v>-37</v>
      </c>
      <c r="L40">
        <f>AVERAGE(I40:K40)</f>
        <v>-37.9</v>
      </c>
      <c r="M40">
        <f>_xlfn.STDEV.S(I40:K40)</f>
        <v>1.0148891565092217</v>
      </c>
      <c r="N40" s="6"/>
      <c r="O40" t="s">
        <v>55</v>
      </c>
      <c r="P40">
        <f>P10-P11</f>
        <v>-60</v>
      </c>
      <c r="Q40">
        <f>Q10-Q11</f>
        <v>-64.900000000000006</v>
      </c>
      <c r="R40" t="e">
        <f>#REF!-R11</f>
        <v>#REF!</v>
      </c>
      <c r="S40" t="e">
        <f>AVERAGE(P40:R40)</f>
        <v>#REF!</v>
      </c>
      <c r="T40" t="e">
        <f>_xlfn.STDEV.S(P40:R40)</f>
        <v>#REF!</v>
      </c>
    </row>
    <row r="41" spans="1:20">
      <c r="A41" t="s">
        <v>56</v>
      </c>
      <c r="B41">
        <f>B16-B17</f>
        <v>-23</v>
      </c>
      <c r="C41">
        <f>C16-C17</f>
        <v>-23</v>
      </c>
      <c r="D41">
        <f>D16-D17</f>
        <v>-23</v>
      </c>
      <c r="E41">
        <f>AVERAGE(B41:D41)</f>
        <v>-23</v>
      </c>
      <c r="F41">
        <f>_xlfn.STDEV.S(B41:D41)</f>
        <v>0</v>
      </c>
      <c r="G41" s="6"/>
      <c r="H41" t="s">
        <v>56</v>
      </c>
      <c r="I41">
        <f>I16-I17</f>
        <v>-44.9</v>
      </c>
      <c r="J41">
        <f>J16-J17</f>
        <v>-45.7</v>
      </c>
      <c r="K41">
        <f>K16-K17</f>
        <v>-45.9</v>
      </c>
      <c r="L41">
        <f>AVERAGE(I41:K41)</f>
        <v>-45.5</v>
      </c>
      <c r="M41">
        <f>_xlfn.STDEV.S(I41:K41)</f>
        <v>0.52915026221291894</v>
      </c>
      <c r="N41" s="6"/>
      <c r="O41" t="s">
        <v>56</v>
      </c>
      <c r="P41">
        <f>P16-P17</f>
        <v>-77</v>
      </c>
      <c r="Q41">
        <f>Q16-Q17</f>
        <v>-76</v>
      </c>
      <c r="R41">
        <f>R16-R17</f>
        <v>-78.099999999999994</v>
      </c>
      <c r="S41">
        <f>AVERAGE(P41:R41)</f>
        <v>-77.033333333333331</v>
      </c>
      <c r="T41">
        <f>_xlfn.STDEV.S(P41:R41)</f>
        <v>1.0503967504392457</v>
      </c>
    </row>
    <row r="42" spans="1:20">
      <c r="A42" t="s">
        <v>57</v>
      </c>
      <c r="B42">
        <f>B22-B23</f>
        <v>-30.75</v>
      </c>
      <c r="C42">
        <f>C22-C23</f>
        <v>-31.75</v>
      </c>
      <c r="D42">
        <f>D22-D23</f>
        <v>-31.75</v>
      </c>
      <c r="E42">
        <f>AVERAGE(B42:D42)</f>
        <v>-31.416666666666668</v>
      </c>
      <c r="F42">
        <f>_xlfn.STDEV.S(B42:D42)</f>
        <v>0.57735026918962584</v>
      </c>
      <c r="G42" s="6"/>
      <c r="H42" t="s">
        <v>57</v>
      </c>
      <c r="I42">
        <f>I22-I23</f>
        <v>-62</v>
      </c>
      <c r="J42">
        <f>J22-J23</f>
        <v>-62</v>
      </c>
      <c r="K42">
        <f>K22-K23</f>
        <v>-61</v>
      </c>
      <c r="L42">
        <f>AVERAGE(I42:K42)</f>
        <v>-61.666666666666664</v>
      </c>
      <c r="M42">
        <f>_xlfn.STDEV.S(I42:K42)</f>
        <v>0.57735026918962584</v>
      </c>
      <c r="N42" s="6"/>
      <c r="O42" t="s">
        <v>57</v>
      </c>
      <c r="P42">
        <f>P22-P23</f>
        <v>-106</v>
      </c>
      <c r="Q42">
        <f>Q22-Q23</f>
        <v>-105</v>
      </c>
      <c r="R42">
        <f>R22-R23</f>
        <v>-105</v>
      </c>
      <c r="S42">
        <f>AVERAGE(P42:R42)</f>
        <v>-105.33333333333333</v>
      </c>
      <c r="T42">
        <f>_xlfn.STDEV.S(P42:R42)</f>
        <v>0.57735026918962573</v>
      </c>
    </row>
    <row r="43" spans="1:20">
      <c r="A43" t="s">
        <v>58</v>
      </c>
      <c r="B43">
        <f>B28-B29</f>
        <v>-35.5</v>
      </c>
      <c r="C43">
        <f>C28-C29</f>
        <v>-35.5</v>
      </c>
      <c r="D43">
        <f>D28-D29</f>
        <v>-36.5</v>
      </c>
      <c r="E43">
        <f>AVERAGE(B43:D43)</f>
        <v>-35.833333333333336</v>
      </c>
      <c r="F43">
        <f>_xlfn.STDEV.S(B43:D43)</f>
        <v>0.57735026918962584</v>
      </c>
      <c r="G43" s="6"/>
      <c r="H43" t="s">
        <v>58</v>
      </c>
      <c r="I43">
        <f>I28-I29</f>
        <v>-73.5</v>
      </c>
      <c r="J43">
        <f>J28-J29</f>
        <v>-72.5</v>
      </c>
      <c r="K43" t="e">
        <f>#REF!-K28</f>
        <v>#REF!</v>
      </c>
      <c r="L43" t="e">
        <f>AVERAGE(I43:K43)</f>
        <v>#REF!</v>
      </c>
      <c r="M43" t="e">
        <f>_xlfn.STDEV.S(I43:K43)</f>
        <v>#REF!</v>
      </c>
      <c r="N43" s="6"/>
      <c r="O43" t="s">
        <v>58</v>
      </c>
      <c r="P43">
        <f>P28-P29</f>
        <v>-125.6</v>
      </c>
      <c r="Q43">
        <f>Q28-Q29</f>
        <v>-125.55</v>
      </c>
      <c r="R43">
        <f>R28-R29</f>
        <v>-125.55</v>
      </c>
      <c r="S43">
        <f>AVERAGE(P43:R43)</f>
        <v>-125.56666666666666</v>
      </c>
      <c r="T43">
        <f>_xlfn.STDEV.S(P43:R43)</f>
        <v>2.8867513459479646E-2</v>
      </c>
    </row>
    <row r="44" spans="1:20">
      <c r="G44" s="6"/>
      <c r="N44" s="6"/>
    </row>
    <row r="45" spans="1:20" ht="18.75">
      <c r="A45" s="16" t="s">
        <v>59</v>
      </c>
      <c r="B45" s="16">
        <f>B7*B6*SQRT(3)*0.75</f>
        <v>354.11778760745688</v>
      </c>
      <c r="C45" s="16">
        <f>C7*C6*SQRT(3)*0.75</f>
        <v>350.3505771009946</v>
      </c>
      <c r="D45" s="16">
        <f>D7*D6*SQRT(3)*0.75</f>
        <v>350.3505771009946</v>
      </c>
      <c r="E45" s="16">
        <f t="shared" ref="E45:E54" si="37">AVERAGE(B45:D45)</f>
        <v>351.60631393648197</v>
      </c>
      <c r="F45" s="16">
        <f t="shared" ref="F45:F54" si="38">_xlfn.STDEV.S(B45:D45)</f>
        <v>2.1749999999999821</v>
      </c>
      <c r="G45" s="6"/>
      <c r="H45" s="16" t="s">
        <v>59</v>
      </c>
      <c r="I45" s="16">
        <f>I7*I6*SQRT(3)*0.75</f>
        <v>754.09162034529993</v>
      </c>
      <c r="J45" s="16">
        <f>J7*J6*SQRT(3)*0.75</f>
        <v>748.50575649089012</v>
      </c>
      <c r="K45" s="16">
        <f>K7*K6*SQRT(3)*0.75</f>
        <v>748.50575649089012</v>
      </c>
      <c r="L45" s="16">
        <f t="shared" ref="L45:L54" si="39">AVERAGE(I45:K45)</f>
        <v>750.3677111090268</v>
      </c>
      <c r="M45" s="16">
        <f t="shared" ref="M45:M54" si="40">_xlfn.STDEV.S(I45:K45)</f>
        <v>3.2250000000001036</v>
      </c>
      <c r="N45" s="6"/>
      <c r="O45" s="16" t="s">
        <v>59</v>
      </c>
      <c r="P45" s="16">
        <f>P7*P6*SQRT(3)*0.75</f>
        <v>1402.9611541307904</v>
      </c>
      <c r="Q45" s="16">
        <f>Q7*Q6*SQRT(3)*0.75</f>
        <v>1402.9611541307904</v>
      </c>
      <c r="R45" s="16">
        <f>R7*R6*SQRT(3)*0.75</f>
        <v>1395.1669254967305</v>
      </c>
      <c r="S45" s="16">
        <f t="shared" ref="S45:S54" si="41">AVERAGE(P45:R45)</f>
        <v>1400.3630779194373</v>
      </c>
      <c r="T45" s="16">
        <f t="shared" ref="T45:T54" si="42">_xlfn.STDEV.S(P45:R45)</f>
        <v>4.4999999999999671</v>
      </c>
    </row>
    <row r="46" spans="1:20">
      <c r="A46" s="16" t="s">
        <v>60</v>
      </c>
      <c r="B46" s="16">
        <f>B33*B39</f>
        <v>-51.053696064</v>
      </c>
      <c r="C46" s="16">
        <f>C33*C39</f>
        <v>-50.734298160000002</v>
      </c>
      <c r="D46" s="16">
        <f>D33*D39</f>
        <v>-49.935803399999998</v>
      </c>
      <c r="E46" s="16">
        <f t="shared" si="37"/>
        <v>-50.574599207999995</v>
      </c>
      <c r="F46" s="16">
        <f t="shared" si="38"/>
        <v>0.57580276007386422</v>
      </c>
      <c r="G46" s="6"/>
      <c r="H46" s="16" t="s">
        <v>60</v>
      </c>
      <c r="I46" s="16">
        <f>I33*I39</f>
        <v>-138.68695259999998</v>
      </c>
      <c r="J46" s="16">
        <f>J33*J39</f>
        <v>-125.10404121599998</v>
      </c>
      <c r="K46" s="16">
        <f>K33*K39</f>
        <v>-134.073895032</v>
      </c>
      <c r="L46" s="16">
        <f t="shared" si="39"/>
        <v>-132.62162961599998</v>
      </c>
      <c r="M46" s="16">
        <f t="shared" si="40"/>
        <v>6.9069296033245804</v>
      </c>
      <c r="N46" s="6"/>
      <c r="O46" s="16" t="s">
        <v>60</v>
      </c>
      <c r="P46" s="16">
        <f>P33*P39</f>
        <v>-246.01903200000001</v>
      </c>
      <c r="Q46" s="16">
        <f>Q33*Q39</f>
        <v>-235.82237797440001</v>
      </c>
      <c r="R46" s="16">
        <f>R33*R39</f>
        <v>-261.96448496399995</v>
      </c>
      <c r="S46" s="16">
        <f t="shared" si="41"/>
        <v>-247.93529831279997</v>
      </c>
      <c r="T46" s="16">
        <f t="shared" si="42"/>
        <v>13.175981819208065</v>
      </c>
    </row>
    <row r="47" spans="1:20" ht="18.75">
      <c r="A47" s="16" t="s">
        <v>61</v>
      </c>
      <c r="B47" s="16">
        <f>B13*B12*SQRT(3)*0.75</f>
        <v>350.3505771009946</v>
      </c>
      <c r="C47" s="16">
        <f>C13*C12*SQRT(3)*0.75</f>
        <v>350.3505771009946</v>
      </c>
      <c r="D47" s="16">
        <f>D13*D12*SQRT(3)*0.75</f>
        <v>354.11778760745688</v>
      </c>
      <c r="E47" s="16">
        <f t="shared" si="37"/>
        <v>351.60631393648208</v>
      </c>
      <c r="F47" s="16">
        <f t="shared" si="38"/>
        <v>2.1749999999999821</v>
      </c>
      <c r="G47" s="6"/>
      <c r="H47" s="16" t="s">
        <v>61</v>
      </c>
      <c r="I47" s="16">
        <f>I13*I12*SQRT(3)*0.75</f>
        <v>731.09864587482321</v>
      </c>
      <c r="J47" s="16">
        <f>J13*J12*SQRT(3)*0.75</f>
        <v>731.09864587482321</v>
      </c>
      <c r="K47" s="16">
        <f>K13*K12*SQRT(3)*0.75</f>
        <v>731.09864587482321</v>
      </c>
      <c r="L47" s="16">
        <f t="shared" si="39"/>
        <v>731.09864587482332</v>
      </c>
      <c r="M47" s="16">
        <f t="shared" si="40"/>
        <v>1.3923737144427707E-13</v>
      </c>
      <c r="N47" s="6"/>
      <c r="O47" s="16" t="s">
        <v>61</v>
      </c>
      <c r="P47" s="16">
        <f>P13*P12*SQRT(3)*0.75</f>
        <v>1379.5784682286107</v>
      </c>
      <c r="Q47" s="16">
        <f>Q13*Q12*SQRT(3)*0.75</f>
        <v>1371.9141434051187</v>
      </c>
      <c r="R47" s="16">
        <f>R13*R12*SQRT(3)*0.75</f>
        <v>1371.9141434051187</v>
      </c>
      <c r="S47" s="16">
        <f t="shared" si="41"/>
        <v>1374.4689183462826</v>
      </c>
      <c r="T47" s="16">
        <f t="shared" si="42"/>
        <v>4.4249999999998675</v>
      </c>
    </row>
    <row r="48" spans="1:20">
      <c r="A48" s="16" t="s">
        <v>62</v>
      </c>
      <c r="B48" s="16">
        <f>B34*B40</f>
        <v>-54.382707287999999</v>
      </c>
      <c r="C48" s="16">
        <f>C34*C40</f>
        <v>-55.603992175199998</v>
      </c>
      <c r="D48" s="16">
        <f>D34*D40</f>
        <v>-55.785297456000009</v>
      </c>
      <c r="E48" s="16">
        <f t="shared" si="37"/>
        <v>-55.257332306400002</v>
      </c>
      <c r="F48" s="16">
        <f t="shared" si="38"/>
        <v>0.76285293033447621</v>
      </c>
      <c r="G48" s="6"/>
      <c r="H48" s="16" t="s">
        <v>62</v>
      </c>
      <c r="I48" s="16">
        <f>I34*I40</f>
        <v>-151.561794384</v>
      </c>
      <c r="J48" s="16">
        <f>J34*J40</f>
        <v>-141.90570772560002</v>
      </c>
      <c r="K48" s="16">
        <f>K34*K40</f>
        <v>-136.14263308799997</v>
      </c>
      <c r="L48" s="16">
        <f t="shared" si="39"/>
        <v>-143.20337839919998</v>
      </c>
      <c r="M48" s="16">
        <f t="shared" si="40"/>
        <v>7.7910586989739299</v>
      </c>
      <c r="N48" s="6"/>
      <c r="O48" s="16" t="s">
        <v>62</v>
      </c>
      <c r="P48" s="16">
        <f>P34*P40</f>
        <v>-270.93609648</v>
      </c>
      <c r="Q48" s="16">
        <f>Q34*Q40</f>
        <v>-283.30775660880005</v>
      </c>
      <c r="R48" s="16" t="e">
        <f>R34*R40</f>
        <v>#REF!</v>
      </c>
      <c r="S48" s="16" t="e">
        <f t="shared" si="41"/>
        <v>#REF!</v>
      </c>
      <c r="T48" s="16" t="e">
        <f t="shared" si="42"/>
        <v>#REF!</v>
      </c>
    </row>
    <row r="49" spans="1:20" ht="18.75">
      <c r="A49" s="16" t="s">
        <v>63</v>
      </c>
      <c r="B49" s="16">
        <f>B19*B18*SQRT(3)*0.75</f>
        <v>335.28173507514538</v>
      </c>
      <c r="C49" s="16">
        <f>C19*C18*SQRT(3)*0.75</f>
        <v>323.72029593462315</v>
      </c>
      <c r="D49" s="16">
        <f>D19*D18*SQRT(3)*0.75</f>
        <v>335.28173507514538</v>
      </c>
      <c r="E49" s="16">
        <f t="shared" si="37"/>
        <v>331.42792202830464</v>
      </c>
      <c r="F49" s="16">
        <f t="shared" si="38"/>
        <v>6.6749999999999821</v>
      </c>
      <c r="G49" s="6"/>
      <c r="H49" s="16" t="s">
        <v>63</v>
      </c>
      <c r="I49" s="16">
        <f>I19*I18*SQRT(3)*0.75</f>
        <v>733.04720303333795</v>
      </c>
      <c r="J49" s="16">
        <f>J19*J18*SQRT(3)*0.75</f>
        <v>733.04720303333795</v>
      </c>
      <c r="K49" s="16">
        <f>K19*K18*SQRT(3)*0.75</f>
        <v>733.04720303333795</v>
      </c>
      <c r="L49" s="16">
        <f t="shared" si="39"/>
        <v>733.04720303333795</v>
      </c>
      <c r="M49" s="16">
        <f t="shared" si="40"/>
        <v>0</v>
      </c>
      <c r="N49" s="6"/>
      <c r="O49" s="16" t="s">
        <v>63</v>
      </c>
      <c r="P49" s="16">
        <f>P19*P18*SQRT(3)*0.75</f>
        <v>1356.1957823264308</v>
      </c>
      <c r="Q49" s="16">
        <f>Q19*Q18*SQRT(3)*0.75</f>
        <v>1318.0040620195371</v>
      </c>
      <c r="R49" s="16">
        <f>R19*R18*SQRT(3)*0.75</f>
        <v>1318.0040620195371</v>
      </c>
      <c r="S49" s="16">
        <f t="shared" si="41"/>
        <v>1330.7346354551682</v>
      </c>
      <c r="T49" s="16">
        <f t="shared" si="42"/>
        <v>22.050000000000022</v>
      </c>
    </row>
    <row r="50" spans="1:20">
      <c r="A50" s="16" t="s">
        <v>64</v>
      </c>
      <c r="B50" s="16">
        <f>B35*B41</f>
        <v>-55.244597183999993</v>
      </c>
      <c r="C50" s="16">
        <f>C35*C41</f>
        <v>-55.892787048000002</v>
      </c>
      <c r="D50" s="16">
        <f>D35*D41</f>
        <v>-55.676723760000002</v>
      </c>
      <c r="E50" s="16">
        <f t="shared" si="37"/>
        <v>-55.604702664000001</v>
      </c>
      <c r="F50" s="16">
        <f t="shared" si="38"/>
        <v>0.33004212405368644</v>
      </c>
      <c r="G50" s="6"/>
      <c r="H50" s="16" t="s">
        <v>64</v>
      </c>
      <c r="I50" s="16">
        <f>I35*I41</f>
        <v>-163.52375255999999</v>
      </c>
      <c r="J50" s="16">
        <f>J35*J41</f>
        <v>-165.5786993616</v>
      </c>
      <c r="K50" s="16">
        <f>K35*K41</f>
        <v>-172.7711401752</v>
      </c>
      <c r="L50" s="16">
        <f t="shared" si="39"/>
        <v>-167.2911973656</v>
      </c>
      <c r="M50" s="16">
        <f t="shared" si="40"/>
        <v>4.8557215207131286</v>
      </c>
      <c r="N50" s="6"/>
      <c r="O50" s="16" t="s">
        <v>64</v>
      </c>
      <c r="P50" s="16">
        <f>P35*P41</f>
        <v>-309.36418127999997</v>
      </c>
      <c r="Q50" s="16">
        <f>Q35*Q41</f>
        <v>-316.76963673600005</v>
      </c>
      <c r="R50" s="16">
        <f>R35*R41</f>
        <v>-322.58777886720003</v>
      </c>
      <c r="S50" s="16">
        <f t="shared" si="41"/>
        <v>-316.24053229440005</v>
      </c>
      <c r="T50" s="16">
        <f t="shared" si="42"/>
        <v>6.6276577249916491</v>
      </c>
    </row>
    <row r="51" spans="1:20" ht="18.75">
      <c r="A51" s="16" t="s">
        <v>65</v>
      </c>
      <c r="B51" s="16">
        <f>B25*B24*SQRT(3)*0.75</f>
        <v>344.31004990959821</v>
      </c>
      <c r="C51" s="16">
        <f>C25*C24*SQRT(3)*0.75</f>
        <v>344.31004990959821</v>
      </c>
      <c r="D51" s="16">
        <f>D25*D24*SQRT(3)*0.75</f>
        <v>344.31004990959821</v>
      </c>
      <c r="E51" s="16">
        <f t="shared" si="37"/>
        <v>344.31004990959826</v>
      </c>
      <c r="F51" s="16">
        <f t="shared" si="38"/>
        <v>6.9618685722138533E-14</v>
      </c>
      <c r="G51" s="6"/>
      <c r="H51" s="16" t="s">
        <v>65</v>
      </c>
      <c r="I51" s="16">
        <f>I25*I24*SQRT(3)*0.75</f>
        <v>661.47020341055418</v>
      </c>
      <c r="J51" s="16">
        <f>J25*J24*SQRT(3)*0.75</f>
        <v>661.47020341055418</v>
      </c>
      <c r="K51" s="16">
        <f>K25*K24*SQRT(3)*0.75</f>
        <v>661.47020341055418</v>
      </c>
      <c r="L51" s="16">
        <f t="shared" si="39"/>
        <v>661.47020341055418</v>
      </c>
      <c r="M51" s="16">
        <f t="shared" si="40"/>
        <v>0</v>
      </c>
      <c r="N51" s="6"/>
      <c r="O51" s="16" t="s">
        <v>65</v>
      </c>
      <c r="P51" s="16">
        <f>P25*P24*SQRT(3)*0.75</f>
        <v>1162.639104580609</v>
      </c>
      <c r="Q51" s="16">
        <f>Q25*Q24*SQRT(3)*0.75</f>
        <v>1162.639104580609</v>
      </c>
      <c r="R51" s="16">
        <f>R25*R24*SQRT(3)*0.75</f>
        <v>1162.639104580609</v>
      </c>
      <c r="S51" s="16">
        <f t="shared" si="41"/>
        <v>1162.639104580609</v>
      </c>
      <c r="T51" s="16">
        <f t="shared" si="42"/>
        <v>0</v>
      </c>
    </row>
    <row r="52" spans="1:20">
      <c r="A52" s="16" t="s">
        <v>66</v>
      </c>
      <c r="B52" s="16">
        <f>B36*B42</f>
        <v>-45.550636740000002</v>
      </c>
      <c r="C52" s="16">
        <f>C36*C42</f>
        <v>-44.944129314000008</v>
      </c>
      <c r="D52" s="16">
        <f>D36*D42</f>
        <v>-44.347606758000005</v>
      </c>
      <c r="E52" s="16">
        <f t="shared" si="37"/>
        <v>-44.947457604</v>
      </c>
      <c r="F52" s="16">
        <f t="shared" si="38"/>
        <v>0.60152189696923852</v>
      </c>
      <c r="G52" s="6"/>
      <c r="H52" s="16" t="s">
        <v>66</v>
      </c>
      <c r="I52" s="16">
        <f>I36*I42</f>
        <v>-147.755355552</v>
      </c>
      <c r="J52" s="16">
        <f>J36*J42</f>
        <v>-146.59049260800001</v>
      </c>
      <c r="K52" s="16">
        <f>K36*K42</f>
        <v>-143.65309240799999</v>
      </c>
      <c r="L52" s="16">
        <f t="shared" si="39"/>
        <v>-145.999646856</v>
      </c>
      <c r="M52" s="16">
        <f t="shared" si="40"/>
        <v>2.1139926094117598</v>
      </c>
      <c r="N52" s="6"/>
      <c r="O52" s="16" t="s">
        <v>66</v>
      </c>
      <c r="P52" s="16">
        <f>P36*P42</f>
        <v>-342.233289216</v>
      </c>
      <c r="Q52" s="16">
        <f>Q36*Q42</f>
        <v>-340.97742503999996</v>
      </c>
      <c r="R52" s="16">
        <f>R36*R42</f>
        <v>-338.01829739999999</v>
      </c>
      <c r="S52" s="16">
        <f t="shared" si="41"/>
        <v>-340.40967055200002</v>
      </c>
      <c r="T52" s="16">
        <f t="shared" si="42"/>
        <v>2.1640928518018456</v>
      </c>
    </row>
    <row r="53" spans="1:20" ht="18.75">
      <c r="A53" s="16" t="s">
        <v>67</v>
      </c>
      <c r="B53" s="16">
        <f>B31*B30*SQRT(3)*0.75</f>
        <v>323.33058450292015</v>
      </c>
      <c r="C53" s="16">
        <f>C31*C30*SQRT(3)*0.75</f>
        <v>323.33058450292015</v>
      </c>
      <c r="D53" s="16">
        <f>D31*D30*SQRT(3)*0.75</f>
        <v>323.33058450292015</v>
      </c>
      <c r="E53" s="16">
        <f t="shared" si="37"/>
        <v>323.33058450292015</v>
      </c>
      <c r="F53" s="16">
        <f t="shared" si="38"/>
        <v>0</v>
      </c>
      <c r="G53" s="6"/>
      <c r="H53" s="16" t="s">
        <v>67</v>
      </c>
      <c r="I53" s="16">
        <f>I31*I30*SQRT(3)*0.75</f>
        <v>613.79550493222087</v>
      </c>
      <c r="J53" s="16">
        <f>J31*J30*SQRT(3)*0.75</f>
        <v>613.79550493222087</v>
      </c>
      <c r="K53" s="16">
        <f>K31*K30*SQRT(3)*0.75</f>
        <v>613.79550493222087</v>
      </c>
      <c r="L53" s="16">
        <f t="shared" si="39"/>
        <v>613.79550493222087</v>
      </c>
      <c r="M53" s="16">
        <f t="shared" si="40"/>
        <v>0</v>
      </c>
      <c r="N53" s="6"/>
      <c r="O53" s="16" t="s">
        <v>67</v>
      </c>
      <c r="P53" s="16">
        <f>P31*P30*SQRT(3)*0.75</f>
        <v>1034.6838511714582</v>
      </c>
      <c r="Q53" s="16">
        <f>Q31*Q30*SQRT(3)*0.75</f>
        <v>1034.6838511714582</v>
      </c>
      <c r="R53" s="16">
        <f>R31*R30*SQRT(3)*0.75</f>
        <v>1034.6838511714582</v>
      </c>
      <c r="S53" s="16">
        <f t="shared" si="41"/>
        <v>1034.6838511714582</v>
      </c>
      <c r="T53" s="16">
        <f t="shared" si="42"/>
        <v>0</v>
      </c>
    </row>
    <row r="54" spans="1:20">
      <c r="A54" s="16" t="s">
        <v>68</v>
      </c>
      <c r="B54" s="16">
        <f>B37*B43</f>
        <v>-27.57523986</v>
      </c>
      <c r="C54" s="16">
        <f>C37*C43</f>
        <v>-27.57523986</v>
      </c>
      <c r="D54" s="16">
        <f>D37*D43</f>
        <v>-28.352007180000001</v>
      </c>
      <c r="E54" s="16">
        <f t="shared" si="37"/>
        <v>-27.834162300000003</v>
      </c>
      <c r="F54" s="16">
        <f t="shared" si="38"/>
        <v>0.44846682129970483</v>
      </c>
      <c r="G54" s="6"/>
      <c r="H54" s="16" t="s">
        <v>68</v>
      </c>
      <c r="I54" s="16" t="e">
        <f>I37*I43</f>
        <v>#REF!</v>
      </c>
      <c r="J54" s="16">
        <f>J37*J43</f>
        <v>-81.515185919999993</v>
      </c>
      <c r="K54" s="16" t="e">
        <f>K37*K43</f>
        <v>#REF!</v>
      </c>
      <c r="L54" s="16" t="e">
        <f t="shared" si="39"/>
        <v>#REF!</v>
      </c>
      <c r="M54" s="16" t="e">
        <f t="shared" si="40"/>
        <v>#REF!</v>
      </c>
      <c r="N54" s="6"/>
      <c r="O54" s="16" t="s">
        <v>68</v>
      </c>
      <c r="P54" s="16">
        <f>P37*P43</f>
        <v>-188.41376977920001</v>
      </c>
      <c r="Q54" s="16">
        <f>Q37*Q43</f>
        <v>-187.15934056680001</v>
      </c>
      <c r="R54" s="16">
        <f>R37*R43</f>
        <v>-184.80049310520002</v>
      </c>
      <c r="S54" s="16">
        <f t="shared" si="41"/>
        <v>-186.79120115040004</v>
      </c>
      <c r="T54" s="16">
        <f t="shared" si="42"/>
        <v>1.8345536386676209</v>
      </c>
    </row>
    <row r="55" spans="1:20">
      <c r="G55" s="6"/>
      <c r="N55" s="6"/>
    </row>
    <row r="56" spans="1:20">
      <c r="A56" t="s">
        <v>69</v>
      </c>
      <c r="B56">
        <f>B46/B45</f>
        <v>-0.14417150973673634</v>
      </c>
      <c r="C56">
        <f t="shared" ref="C56:D56" si="43">C46/C45</f>
        <v>-0.14481008873969961</v>
      </c>
      <c r="D56">
        <f t="shared" si="43"/>
        <v>-0.14253095802837837</v>
      </c>
      <c r="E56">
        <f>AVERAGE(B56:D56)</f>
        <v>-0.14383751883493812</v>
      </c>
      <c r="F56">
        <f>_xlfn.STDEV.S(B56:D56)</f>
        <v>1.1757004897867979E-3</v>
      </c>
      <c r="G56" s="6"/>
      <c r="H56" t="s">
        <v>69</v>
      </c>
      <c r="I56">
        <f>I46/I45</f>
        <v>-0.18391260273717797</v>
      </c>
      <c r="J56">
        <f t="shared" ref="J56:K56" si="44">J46/J45</f>
        <v>-0.16713838221165717</v>
      </c>
      <c r="K56">
        <f t="shared" si="44"/>
        <v>-0.17912206268200126</v>
      </c>
      <c r="L56">
        <f>AVERAGE(I56:K56)</f>
        <v>-0.1767243492102788</v>
      </c>
      <c r="M56">
        <f>_xlfn.STDEV.S(I56:K56)</f>
        <v>8.64033511960389E-3</v>
      </c>
      <c r="N56" s="6"/>
      <c r="O56" t="s">
        <v>69</v>
      </c>
      <c r="P56">
        <f>P46/P45</f>
        <v>-0.17535698068021133</v>
      </c>
      <c r="Q56">
        <f t="shared" ref="Q56:R56" si="45">Q46/Q45</f>
        <v>-0.16808902889439203</v>
      </c>
      <c r="R56">
        <f t="shared" si="45"/>
        <v>-0.18776569324902179</v>
      </c>
      <c r="S56">
        <f>AVERAGE(P56:R56)</f>
        <v>-0.17707056760787507</v>
      </c>
      <c r="T56">
        <f>_xlfn.STDEV.S(P56:R56)</f>
        <v>9.949626382441918E-3</v>
      </c>
    </row>
    <row r="57" spans="1:20">
      <c r="A57" t="s">
        <v>70</v>
      </c>
      <c r="B57">
        <f>B48/B47</f>
        <v>-0.15522368405382489</v>
      </c>
      <c r="C57">
        <f t="shared" ref="C57:D57" si="46">C48/C47</f>
        <v>-0.15870957780432365</v>
      </c>
      <c r="D57">
        <f t="shared" si="46"/>
        <v>-0.15753316949398366</v>
      </c>
      <c r="E57">
        <f t="shared" ref="E57:E60" si="47">AVERAGE(B57:D57)</f>
        <v>-0.1571554771173774</v>
      </c>
      <c r="F57">
        <f t="shared" ref="F57:F60" si="48">_xlfn.STDEV.S(B57:D57)</f>
        <v>1.7733731864589158E-3</v>
      </c>
      <c r="G57" s="6"/>
      <c r="H57" t="s">
        <v>70</v>
      </c>
      <c r="I57">
        <f>I48/I47</f>
        <v>-0.20730690070235749</v>
      </c>
      <c r="J57">
        <f t="shared" ref="J57:K57" si="49">J48/J47</f>
        <v>-0.19409926215332746</v>
      </c>
      <c r="K57">
        <f t="shared" si="49"/>
        <v>-0.18621650287027061</v>
      </c>
      <c r="L57">
        <f t="shared" ref="L57:L60" si="50">AVERAGE(I57:K57)</f>
        <v>-0.19587422190865186</v>
      </c>
      <c r="M57">
        <f t="shared" ref="M57:M60" si="51">_xlfn.STDEV.S(I57:K57)</f>
        <v>1.0656644958836232E-2</v>
      </c>
      <c r="N57" s="6"/>
      <c r="O57" t="s">
        <v>70</v>
      </c>
      <c r="P57">
        <f>P48/P47</f>
        <v>-0.19639049370485176</v>
      </c>
      <c r="Q57">
        <f t="shared" ref="Q57:R57" si="52">Q48/Q47</f>
        <v>-0.20650545660650779</v>
      </c>
      <c r="R57" t="e">
        <f t="shared" si="52"/>
        <v>#REF!</v>
      </c>
      <c r="S57" t="e">
        <f t="shared" ref="S57:S60" si="53">AVERAGE(P57:R57)</f>
        <v>#REF!</v>
      </c>
      <c r="T57" t="e">
        <f t="shared" ref="T57:T60" si="54">_xlfn.STDEV.S(P57:R57)</f>
        <v>#REF!</v>
      </c>
    </row>
    <row r="58" spans="1:20">
      <c r="A58" t="s">
        <v>71</v>
      </c>
      <c r="B58">
        <f>B50/B49</f>
        <v>-0.16477067315229157</v>
      </c>
      <c r="C58">
        <f t="shared" ref="C58:D58" si="55">C50/C49</f>
        <v>-0.17265765461702104</v>
      </c>
      <c r="D58">
        <f t="shared" si="55"/>
        <v>-0.1660595193099958</v>
      </c>
      <c r="E58">
        <f t="shared" si="47"/>
        <v>-0.16782928235976949</v>
      </c>
      <c r="F58">
        <f t="shared" si="48"/>
        <v>4.2308586711806741E-3</v>
      </c>
      <c r="G58" s="6"/>
      <c r="H58" t="s">
        <v>71</v>
      </c>
      <c r="I58">
        <f>I50/I49</f>
        <v>-0.22307397379505881</v>
      </c>
      <c r="J58">
        <f t="shared" ref="J58:K58" si="56">J50/J49</f>
        <v>-0.22587726776180023</v>
      </c>
      <c r="K58">
        <f t="shared" si="56"/>
        <v>-0.23568896990572463</v>
      </c>
      <c r="L58">
        <f t="shared" si="50"/>
        <v>-0.22821340382086122</v>
      </c>
      <c r="M58">
        <f t="shared" si="51"/>
        <v>6.6240229832679673E-3</v>
      </c>
      <c r="N58" s="6"/>
      <c r="O58" t="s">
        <v>71</v>
      </c>
      <c r="P58">
        <f>P50/P49</f>
        <v>-0.22811174117450342</v>
      </c>
      <c r="Q58">
        <f t="shared" ref="Q58:R58" si="57">Q50/Q49</f>
        <v>-0.24034041006719181</v>
      </c>
      <c r="R58">
        <f t="shared" si="57"/>
        <v>-0.24475476833729079</v>
      </c>
      <c r="S58">
        <f t="shared" si="53"/>
        <v>-0.23773563985966203</v>
      </c>
      <c r="T58">
        <f t="shared" si="54"/>
        <v>8.6218448815114802E-3</v>
      </c>
    </row>
    <row r="59" spans="1:20">
      <c r="A59" t="s">
        <v>72</v>
      </c>
      <c r="B59">
        <f>B52/B51</f>
        <v>-0.13229540279744881</v>
      </c>
      <c r="C59">
        <f t="shared" ref="C59:D59" si="58">C52/C51</f>
        <v>-0.13053388748251904</v>
      </c>
      <c r="D59">
        <f t="shared" si="58"/>
        <v>-0.12880137181486245</v>
      </c>
      <c r="E59">
        <f t="shared" si="47"/>
        <v>-0.13054355403161008</v>
      </c>
      <c r="F59">
        <f t="shared" si="48"/>
        <v>1.7470355487072492E-3</v>
      </c>
      <c r="G59" s="6"/>
      <c r="H59" t="s">
        <v>72</v>
      </c>
      <c r="I59">
        <f>I52/I51</f>
        <v>-0.22337416680323663</v>
      </c>
      <c r="J59">
        <f t="shared" ref="J59:K59" si="59">J52/J51</f>
        <v>-0.22161314576556337</v>
      </c>
      <c r="K59">
        <f t="shared" si="59"/>
        <v>-0.21717243145242468</v>
      </c>
      <c r="L59">
        <f t="shared" si="50"/>
        <v>-0.22071991467374155</v>
      </c>
      <c r="M59">
        <f t="shared" si="51"/>
        <v>3.195899979336891E-3</v>
      </c>
      <c r="N59" s="6"/>
      <c r="O59" t="s">
        <v>72</v>
      </c>
      <c r="P59">
        <f>P52/P51</f>
        <v>-0.29435900432701473</v>
      </c>
      <c r="Q59">
        <f t="shared" ref="Q59:R59" si="60">Q52/Q51</f>
        <v>-0.29327882031199909</v>
      </c>
      <c r="R59">
        <f t="shared" si="60"/>
        <v>-0.29073363872612135</v>
      </c>
      <c r="S59">
        <f t="shared" si="53"/>
        <v>-0.29279048778837841</v>
      </c>
      <c r="T59">
        <f t="shared" si="54"/>
        <v>1.8613625184940681E-3</v>
      </c>
    </row>
    <row r="60" spans="1:20">
      <c r="A60" t="s">
        <v>73</v>
      </c>
      <c r="B60">
        <f>B54/B53</f>
        <v>-8.5284972043066828E-2</v>
      </c>
      <c r="C60">
        <f t="shared" ref="C60:D60" si="61">C54/C53</f>
        <v>-8.5284972043066828E-2</v>
      </c>
      <c r="D60">
        <f t="shared" si="61"/>
        <v>-8.768736562174477E-2</v>
      </c>
      <c r="E60">
        <f t="shared" si="47"/>
        <v>-8.6085769902626133E-2</v>
      </c>
      <c r="F60">
        <f t="shared" si="48"/>
        <v>1.387022579349138E-3</v>
      </c>
      <c r="G60" s="6"/>
      <c r="H60" t="s">
        <v>73</v>
      </c>
      <c r="I60" t="e">
        <f>I54/I53</f>
        <v>#REF!</v>
      </c>
      <c r="J60">
        <f t="shared" ref="J60:K60" si="62">J54/J53</f>
        <v>-0.1328051203780018</v>
      </c>
      <c r="K60" t="e">
        <f t="shared" si="62"/>
        <v>#REF!</v>
      </c>
      <c r="L60" t="e">
        <f t="shared" si="50"/>
        <v>#REF!</v>
      </c>
      <c r="M60" t="e">
        <f t="shared" si="51"/>
        <v>#REF!</v>
      </c>
      <c r="N60" s="6"/>
      <c r="O60" t="s">
        <v>73</v>
      </c>
      <c r="P60">
        <f>P54/P53</f>
        <v>-0.1820979128705642</v>
      </c>
      <c r="Q60">
        <f t="shared" ref="Q60:R60" si="63">Q54/Q53</f>
        <v>-0.18088553363899532</v>
      </c>
      <c r="R60">
        <f t="shared" si="63"/>
        <v>-0.17860575759056338</v>
      </c>
      <c r="S60">
        <f t="shared" si="53"/>
        <v>-0.18052973470004097</v>
      </c>
      <c r="T60">
        <f t="shared" si="54"/>
        <v>1.7730571870727099E-3</v>
      </c>
    </row>
    <row r="64" spans="1:20">
      <c r="A64" t="s">
        <v>74</v>
      </c>
    </row>
    <row r="65" spans="1:1">
      <c r="A65">
        <f>0.4536</f>
        <v>0.4536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944F5-AAB7-44A9-8BA2-DBF592DEC850}">
  <dimension ref="A1:V13"/>
  <sheetViews>
    <sheetView zoomScale="115" zoomScaleNormal="115" workbookViewId="0">
      <selection activeCell="O18" sqref="O18"/>
    </sheetView>
  </sheetViews>
  <sheetFormatPr defaultRowHeight="15.75"/>
  <cols>
    <col min="1" max="1" width="24.125" customWidth="1"/>
    <col min="2" max="3" width="11.375" bestFit="1" customWidth="1"/>
    <col min="4" max="4" width="11.875" bestFit="1" customWidth="1"/>
    <col min="5" max="5" width="9.625" bestFit="1" customWidth="1"/>
    <col min="6" max="6" width="12.125" bestFit="1" customWidth="1"/>
    <col min="7" max="7" width="18.375" bestFit="1" customWidth="1"/>
    <col min="8" max="8" width="18.625" bestFit="1" customWidth="1"/>
    <col min="9" max="9" width="18.125" bestFit="1" customWidth="1"/>
    <col min="10" max="10" width="11.625" customWidth="1"/>
    <col min="11" max="11" width="10.375" customWidth="1"/>
    <col min="12" max="12" width="10.5" customWidth="1"/>
    <col min="13" max="13" width="10.25" customWidth="1"/>
    <col min="14" max="14" width="12.875" customWidth="1"/>
    <col min="15" max="15" width="12.625" customWidth="1"/>
    <col min="16" max="16" width="11.875" customWidth="1"/>
  </cols>
  <sheetData>
    <row r="1" spans="1:22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R1" t="s">
        <v>91</v>
      </c>
    </row>
    <row r="2" spans="1:22">
      <c r="B2" s="1">
        <f>37.98/10.38</f>
        <v>3.6589595375722537</v>
      </c>
      <c r="C2" s="1">
        <f>39.04/10.66</f>
        <v>3.6622889305816133</v>
      </c>
      <c r="D2" s="1">
        <f>38.84/10.38</f>
        <v>3.7418111753371868</v>
      </c>
      <c r="E2" s="1">
        <f>AVERAGE(B2:D2)</f>
        <v>3.6876865478303511</v>
      </c>
      <c r="F2" s="1">
        <f>_xlfn.STDEV.S(B2:D2)</f>
        <v>4.6902853767313193E-2</v>
      </c>
      <c r="G2">
        <v>17.5</v>
      </c>
      <c r="H2">
        <v>18.100000000000001</v>
      </c>
      <c r="I2">
        <f>AVERAGE(G2:H2)</f>
        <v>17.8</v>
      </c>
      <c r="K2">
        <v>10.38</v>
      </c>
      <c r="L2">
        <v>10.66</v>
      </c>
      <c r="M2">
        <v>10.38</v>
      </c>
      <c r="N2">
        <f>(($T$12/K2)^2+($U$12*B2/K2)^2)^0.5</f>
        <v>1.4484611408569287E-2</v>
      </c>
      <c r="O2">
        <f t="shared" ref="O2:P9" si="0">(($T$12/L2)^2+($U$12*C2/L2)^2)^0.5</f>
        <v>1.4116929600431198E-2</v>
      </c>
      <c r="P2">
        <f t="shared" si="0"/>
        <v>1.4811158736203549E-2</v>
      </c>
      <c r="R2">
        <v>0</v>
      </c>
    </row>
    <row r="3" spans="1:22">
      <c r="B3" s="1">
        <f>43.2/10.46</f>
        <v>4.1300191204588907</v>
      </c>
      <c r="C3" s="1">
        <f>44.02/10.38</f>
        <v>4.2408477842003851</v>
      </c>
      <c r="D3" s="1">
        <f>42.76/10.41</f>
        <v>4.1075888568683956</v>
      </c>
      <c r="E3" s="1">
        <f>AVERAGE(B3:D3)</f>
        <v>4.1594852538425577</v>
      </c>
      <c r="F3" s="1">
        <f t="shared" ref="F3:F7" si="1">_xlfn.STDEV.S(B3:D3)</f>
        <v>7.1348967692995605E-2</v>
      </c>
      <c r="G3">
        <v>19.899999999999999</v>
      </c>
      <c r="H3">
        <v>20.3</v>
      </c>
      <c r="I3">
        <f t="shared" ref="I3:I7" si="2">AVERAGE(G3:H3)</f>
        <v>20.100000000000001</v>
      </c>
      <c r="K3">
        <v>10.46</v>
      </c>
      <c r="L3">
        <v>10.38</v>
      </c>
      <c r="M3">
        <v>10.41</v>
      </c>
      <c r="N3">
        <f t="shared" ref="N3:N9" si="3">(($T$12/K3)^2+($U$12*B3/K3)^2)^0.5</f>
        <v>1.6216616344873418E-2</v>
      </c>
      <c r="O3">
        <f t="shared" si="0"/>
        <v>1.6778620910757984E-2</v>
      </c>
      <c r="P3">
        <f t="shared" si="0"/>
        <v>1.6206318382720138E-2</v>
      </c>
      <c r="R3">
        <v>70</v>
      </c>
    </row>
    <row r="4" spans="1:22">
      <c r="B4" s="1">
        <f>30.36/10.22</f>
        <v>2.9706457925636007</v>
      </c>
      <c r="C4" s="1">
        <f>29.7/10.37</f>
        <v>2.8640308582449374</v>
      </c>
      <c r="D4" s="1">
        <f>30.3/10.31</f>
        <v>2.938894277400582</v>
      </c>
      <c r="E4" s="1">
        <f t="shared" ref="E4:E7" si="4">AVERAGE(B4:D4)</f>
        <v>2.9245236427363732</v>
      </c>
      <c r="F4" s="1">
        <f t="shared" si="1"/>
        <v>5.4740957339384722E-2</v>
      </c>
      <c r="G4">
        <v>14.3</v>
      </c>
      <c r="H4">
        <v>14.8</v>
      </c>
      <c r="I4">
        <f t="shared" si="2"/>
        <v>14.55</v>
      </c>
      <c r="K4">
        <v>10.220000000000001</v>
      </c>
      <c r="L4">
        <v>10.37</v>
      </c>
      <c r="M4">
        <v>10.31</v>
      </c>
      <c r="N4">
        <f t="shared" si="3"/>
        <v>1.1957564469724282E-2</v>
      </c>
      <c r="O4">
        <f t="shared" si="0"/>
        <v>1.136454182289357E-2</v>
      </c>
      <c r="P4">
        <f t="shared" si="0"/>
        <v>1.1727343302243825E-2</v>
      </c>
    </row>
    <row r="5" spans="1:22">
      <c r="B5" s="1">
        <f>23.7/10.25</f>
        <v>2.3121951219512193</v>
      </c>
      <c r="C5" s="1">
        <f>24.24/10.47</f>
        <v>2.3151862464183379</v>
      </c>
      <c r="D5" s="1">
        <f>23.78/10.22</f>
        <v>2.3268101761252447</v>
      </c>
      <c r="E5" s="1">
        <f t="shared" si="4"/>
        <v>2.3180638481649338</v>
      </c>
      <c r="F5" s="1">
        <f t="shared" si="1"/>
        <v>7.7207769030346388E-3</v>
      </c>
      <c r="G5">
        <v>11.3</v>
      </c>
      <c r="H5">
        <v>11.8</v>
      </c>
      <c r="I5">
        <f t="shared" si="2"/>
        <v>11.55</v>
      </c>
      <c r="K5">
        <v>10.25</v>
      </c>
      <c r="L5">
        <v>10.47</v>
      </c>
      <c r="M5">
        <v>10.220000000000001</v>
      </c>
      <c r="N5">
        <f t="shared" si="3"/>
        <v>9.3000943494027516E-3</v>
      </c>
      <c r="O5">
        <f t="shared" si="0"/>
        <v>9.1163254440338719E-3</v>
      </c>
      <c r="P5">
        <f t="shared" si="0"/>
        <v>9.3857043718348129E-3</v>
      </c>
    </row>
    <row r="6" spans="1:22">
      <c r="B6" s="1">
        <f>56.68/10.25</f>
        <v>5.5297560975609752</v>
      </c>
      <c r="C6" s="1">
        <f>57.18/10.31</f>
        <v>5.5460717749757515</v>
      </c>
      <c r="D6" s="1">
        <f>55.82/10.5</f>
        <v>5.3161904761904761</v>
      </c>
      <c r="E6" s="1">
        <f t="shared" si="4"/>
        <v>5.4640061162424018</v>
      </c>
      <c r="F6" s="1">
        <f t="shared" si="1"/>
        <v>0.12827177365011336</v>
      </c>
      <c r="G6">
        <v>26.2</v>
      </c>
      <c r="H6">
        <v>26.9</v>
      </c>
      <c r="I6">
        <f t="shared" si="2"/>
        <v>26.549999999999997</v>
      </c>
      <c r="K6">
        <v>10.25</v>
      </c>
      <c r="L6">
        <v>10.31</v>
      </c>
      <c r="M6">
        <v>10.5</v>
      </c>
      <c r="N6">
        <f t="shared" si="3"/>
        <v>2.2140529676870819E-2</v>
      </c>
      <c r="O6">
        <f t="shared" si="0"/>
        <v>2.2076500884651764E-2</v>
      </c>
      <c r="P6">
        <f t="shared" si="0"/>
        <v>2.0780293792132989E-2</v>
      </c>
    </row>
    <row r="7" spans="1:22">
      <c r="B7" s="1">
        <f>62.02/10.38</f>
        <v>5.9749518304431595</v>
      </c>
      <c r="C7" s="1">
        <f>61.84/10.19</f>
        <v>6.0686947988223752</v>
      </c>
      <c r="D7" s="1">
        <f>62.76/10.4</f>
        <v>6.0346153846153845</v>
      </c>
      <c r="E7" s="1">
        <f t="shared" si="4"/>
        <v>6.0260873379603064</v>
      </c>
      <c r="F7" s="1">
        <f t="shared" si="1"/>
        <v>4.7449780978947101E-2</v>
      </c>
      <c r="G7">
        <v>29.3</v>
      </c>
      <c r="H7">
        <v>29.8</v>
      </c>
      <c r="I7">
        <f t="shared" si="2"/>
        <v>29.55</v>
      </c>
      <c r="K7">
        <v>10.38</v>
      </c>
      <c r="L7">
        <v>10.19</v>
      </c>
      <c r="M7">
        <v>10.4</v>
      </c>
      <c r="N7">
        <f t="shared" si="3"/>
        <v>2.3620139132673381E-2</v>
      </c>
      <c r="O7">
        <f t="shared" si="0"/>
        <v>2.4437424630455611E-2</v>
      </c>
      <c r="P7">
        <f t="shared" si="0"/>
        <v>2.38097340824872E-2</v>
      </c>
    </row>
    <row r="8" spans="1:22">
      <c r="B8">
        <f>34.72/25.41</f>
        <v>1.3663911845730028</v>
      </c>
      <c r="C8">
        <f>34.98/25.57</f>
        <v>1.3680093859992177</v>
      </c>
      <c r="D8">
        <f>37.78/27.75</f>
        <v>1.3614414414414415</v>
      </c>
      <c r="E8" s="1">
        <f>AVERAGE(B8:D8)</f>
        <v>1.3652806706712208</v>
      </c>
      <c r="F8" s="1">
        <f>_xlfn.STDEV.S(B8:D8)</f>
        <v>3.4219007544117959E-3</v>
      </c>
      <c r="G8">
        <v>6.8</v>
      </c>
      <c r="H8">
        <v>7.2</v>
      </c>
      <c r="I8">
        <f>AVERAGE(G8:H8)</f>
        <v>7</v>
      </c>
      <c r="K8">
        <v>25.41</v>
      </c>
      <c r="L8">
        <v>25.57</v>
      </c>
      <c r="M8">
        <v>27.75</v>
      </c>
      <c r="N8">
        <f t="shared" si="3"/>
        <v>2.2395728500098485E-3</v>
      </c>
      <c r="O8">
        <f t="shared" si="0"/>
        <v>2.2281134607685001E-3</v>
      </c>
      <c r="P8">
        <f t="shared" si="0"/>
        <v>2.043523448455954E-3</v>
      </c>
    </row>
    <row r="9" spans="1:22">
      <c r="B9">
        <f>140.56/10.7</f>
        <v>13.136448598130842</v>
      </c>
      <c r="C9">
        <f>140.28/10.5</f>
        <v>13.36</v>
      </c>
      <c r="D9">
        <f>136.1/10.4</f>
        <v>13.08653846153846</v>
      </c>
      <c r="E9">
        <f>AVERAGE(B9:D9)</f>
        <v>13.194329019889766</v>
      </c>
      <c r="F9">
        <f>_xlfn.STDEV.S(B9:D9)</f>
        <v>0.14562936061001328</v>
      </c>
      <c r="G9">
        <v>69</v>
      </c>
      <c r="H9">
        <v>69.5</v>
      </c>
      <c r="I9">
        <f>AVERAGE(G9:H9)</f>
        <v>69.25</v>
      </c>
      <c r="K9">
        <v>10.7</v>
      </c>
      <c r="L9">
        <v>10.5</v>
      </c>
      <c r="M9">
        <v>10.4</v>
      </c>
      <c r="N9">
        <f t="shared" si="3"/>
        <v>5.0344599884305424E-2</v>
      </c>
      <c r="O9">
        <f t="shared" si="0"/>
        <v>5.2176311737952161E-2</v>
      </c>
      <c r="P9">
        <f t="shared" si="0"/>
        <v>5.1600120877507025E-2</v>
      </c>
    </row>
    <row r="10" spans="1:22">
      <c r="O10" t="s">
        <v>92</v>
      </c>
      <c r="T10" t="s">
        <v>93</v>
      </c>
    </row>
    <row r="11" spans="1:22">
      <c r="O11">
        <f>MAX(N2:P9)</f>
        <v>5.2176311737952161E-2</v>
      </c>
      <c r="T11" t="s">
        <v>94</v>
      </c>
      <c r="U11" t="s">
        <v>95</v>
      </c>
    </row>
    <row r="12" spans="1:22">
      <c r="O12" t="s">
        <v>96</v>
      </c>
      <c r="T12">
        <v>0.01</v>
      </c>
      <c r="U12">
        <v>4.1000000000000002E-2</v>
      </c>
      <c r="V12" t="s">
        <v>97</v>
      </c>
    </row>
    <row r="13" spans="1:22">
      <c r="O13">
        <f>((O11)^2+(F9)^2)^0.5</f>
        <v>0.15469414396885633</v>
      </c>
    </row>
  </sheetData>
  <phoneticPr fontId="10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E3D17-5DD8-48B5-82AD-0998C222C000}">
  <dimension ref="A1:AV87"/>
  <sheetViews>
    <sheetView tabSelected="1" topLeftCell="A45" zoomScaleNormal="100" workbookViewId="0">
      <selection activeCell="A34" sqref="A34"/>
    </sheetView>
  </sheetViews>
  <sheetFormatPr defaultRowHeight="15.75"/>
  <cols>
    <col min="1" max="1" width="25.875" customWidth="1"/>
    <col min="2" max="2" width="8.5" bestFit="1" customWidth="1"/>
    <col min="3" max="3" width="8.625" bestFit="1" customWidth="1"/>
    <col min="4" max="4" width="9.125" bestFit="1" customWidth="1"/>
    <col min="5" max="5" width="7.625" bestFit="1" customWidth="1"/>
    <col min="6" max="6" width="14.25" bestFit="1" customWidth="1"/>
    <col min="7" max="7" width="9.625" customWidth="1"/>
    <col min="8" max="8" width="25.75" customWidth="1"/>
    <col min="9" max="9" width="8.875" bestFit="1" customWidth="1"/>
    <col min="10" max="10" width="8.375" bestFit="1" customWidth="1"/>
    <col min="11" max="11" width="7.875" bestFit="1" customWidth="1"/>
    <col min="12" max="12" width="9.125" bestFit="1" customWidth="1"/>
    <col min="13" max="13" width="14.25" bestFit="1" customWidth="1"/>
    <col min="14" max="14" width="8.875" bestFit="1" customWidth="1"/>
    <col min="15" max="15" width="25.75" customWidth="1"/>
    <col min="16" max="16" width="9.125" bestFit="1" customWidth="1"/>
    <col min="17" max="19" width="9.375" bestFit="1" customWidth="1"/>
    <col min="20" max="20" width="14.25" bestFit="1" customWidth="1"/>
    <col min="21" max="21" width="19.5" bestFit="1" customWidth="1"/>
    <col min="22" max="22" width="18.625" bestFit="1" customWidth="1"/>
    <col min="23" max="23" width="9.125" bestFit="1" customWidth="1"/>
    <col min="24" max="24" width="8.875" bestFit="1" customWidth="1"/>
    <col min="25" max="25" width="15.875" bestFit="1" customWidth="1"/>
    <col min="27" max="27" width="13.375" bestFit="1" customWidth="1"/>
    <col min="28" max="28" width="10.25" customWidth="1"/>
    <col min="29" max="29" width="15.375" customWidth="1"/>
    <col min="30" max="30" width="17.375" customWidth="1"/>
    <col min="31" max="31" width="30.875" customWidth="1"/>
    <col min="32" max="36" width="8.875" bestFit="1" customWidth="1"/>
    <col min="37" max="38" width="14.375" bestFit="1" customWidth="1"/>
    <col min="39" max="40" width="12.125" bestFit="1" customWidth="1"/>
    <col min="44" max="45" width="8.75" bestFit="1" customWidth="1"/>
    <col min="46" max="46" width="15.75" customWidth="1"/>
    <col min="47" max="47" width="14.125" customWidth="1"/>
  </cols>
  <sheetData>
    <row r="1" spans="1:48">
      <c r="A1" s="2" t="s">
        <v>0</v>
      </c>
      <c r="B1" s="2">
        <v>1500</v>
      </c>
      <c r="G1" s="6"/>
      <c r="H1" s="2" t="s">
        <v>0</v>
      </c>
      <c r="I1" s="2">
        <v>2250</v>
      </c>
      <c r="N1" s="6"/>
      <c r="O1" s="2" t="s">
        <v>0</v>
      </c>
      <c r="P1" s="2">
        <v>3000</v>
      </c>
      <c r="U1" s="2"/>
      <c r="AC1" t="s">
        <v>98</v>
      </c>
      <c r="AD1" t="s">
        <v>99</v>
      </c>
      <c r="AG1" t="s">
        <v>100</v>
      </c>
      <c r="AH1">
        <f>'CP Calibration'!O13</f>
        <v>0.15469414396885633</v>
      </c>
      <c r="AI1" t="s">
        <v>101</v>
      </c>
      <c r="AR1" t="s">
        <v>102</v>
      </c>
      <c r="AS1" t="s">
        <v>103</v>
      </c>
      <c r="AT1" t="s">
        <v>104</v>
      </c>
      <c r="AU1" t="s">
        <v>105</v>
      </c>
      <c r="AV1" t="s">
        <v>106</v>
      </c>
    </row>
    <row r="2" spans="1:48">
      <c r="B2" t="s">
        <v>3</v>
      </c>
      <c r="C2" t="s">
        <v>4</v>
      </c>
      <c r="D2" t="s">
        <v>5</v>
      </c>
      <c r="E2" t="s">
        <v>6</v>
      </c>
      <c r="F2" t="s">
        <v>7</v>
      </c>
      <c r="G2" s="6"/>
      <c r="I2" t="s">
        <v>3</v>
      </c>
      <c r="J2" t="s">
        <v>4</v>
      </c>
      <c r="K2" t="s">
        <v>5</v>
      </c>
      <c r="L2" t="s">
        <v>6</v>
      </c>
      <c r="M2" t="s">
        <v>7</v>
      </c>
      <c r="N2" s="6"/>
      <c r="P2" t="s">
        <v>3</v>
      </c>
      <c r="Q2" t="s">
        <v>4</v>
      </c>
      <c r="R2" t="s">
        <v>5</v>
      </c>
      <c r="S2" t="s">
        <v>6</v>
      </c>
      <c r="T2" t="s">
        <v>7</v>
      </c>
      <c r="AD2">
        <f>((AT2*W30)^2+(AU2*1000)^2+(1/64/39.37*W23*W24)^2)^0.5</f>
        <v>3483.4528786901301</v>
      </c>
      <c r="AQ2" t="s">
        <v>107</v>
      </c>
      <c r="AR2">
        <v>0.1</v>
      </c>
      <c r="AS2">
        <v>2.5</v>
      </c>
      <c r="AT2">
        <v>0.5</v>
      </c>
      <c r="AU2">
        <v>0.5</v>
      </c>
      <c r="AV2" s="15">
        <f>150*0.02</f>
        <v>3</v>
      </c>
    </row>
    <row r="3" spans="1:48">
      <c r="A3" t="s">
        <v>108</v>
      </c>
      <c r="B3">
        <v>33.9</v>
      </c>
      <c r="C3">
        <v>33.4</v>
      </c>
      <c r="D3">
        <v>33.200000000000003</v>
      </c>
      <c r="E3">
        <f>AVERAGE(B3:D3)</f>
        <v>33.5</v>
      </c>
      <c r="F3">
        <f>_xlfn.STDEV.S(B3:D3)</f>
        <v>0.36055512754639718</v>
      </c>
      <c r="G3" s="6"/>
      <c r="H3" t="s">
        <v>108</v>
      </c>
      <c r="I3">
        <v>52.2</v>
      </c>
      <c r="J3">
        <v>52.1</v>
      </c>
      <c r="K3">
        <v>52.3</v>
      </c>
      <c r="L3">
        <f>AVERAGE(I3:K3)</f>
        <v>52.20000000000001</v>
      </c>
      <c r="M3">
        <f>_xlfn.STDEV.S(I3:K3)</f>
        <v>9.9999999999997868E-2</v>
      </c>
      <c r="N3" s="6"/>
      <c r="O3" t="s">
        <v>108</v>
      </c>
      <c r="P3">
        <v>69.5</v>
      </c>
      <c r="Q3">
        <v>70.400000000000006</v>
      </c>
      <c r="R3">
        <v>70</v>
      </c>
      <c r="S3">
        <f>AVERAGE(P3:R3)</f>
        <v>69.966666666666669</v>
      </c>
      <c r="T3">
        <f>_xlfn.STDEV.S(P3:R3)</f>
        <v>0.4509249752822922</v>
      </c>
      <c r="AB3" t="s">
        <v>0</v>
      </c>
      <c r="AC3" t="s">
        <v>109</v>
      </c>
      <c r="AG3" t="s">
        <v>110</v>
      </c>
      <c r="AK3" t="s">
        <v>111</v>
      </c>
    </row>
    <row r="4" spans="1:48">
      <c r="A4" t="s">
        <v>112</v>
      </c>
      <c r="B4">
        <v>0</v>
      </c>
      <c r="C4">
        <v>0</v>
      </c>
      <c r="D4">
        <v>0</v>
      </c>
      <c r="E4">
        <f>AVERAGE(B4:D4)</f>
        <v>0</v>
      </c>
      <c r="F4">
        <f>_xlfn.STDEV.S(B4:D4)</f>
        <v>0</v>
      </c>
      <c r="G4" s="6"/>
      <c r="H4" t="s">
        <v>112</v>
      </c>
      <c r="I4">
        <v>-3</v>
      </c>
      <c r="J4">
        <v>-3</v>
      </c>
      <c r="K4">
        <v>-3</v>
      </c>
      <c r="L4">
        <f>AVERAGE(I4:K4)</f>
        <v>-3</v>
      </c>
      <c r="M4">
        <f>_xlfn.STDEV.S(I4:K4)</f>
        <v>0</v>
      </c>
      <c r="N4" s="6"/>
      <c r="O4" t="s">
        <v>112</v>
      </c>
      <c r="P4">
        <v>-6.5</v>
      </c>
      <c r="Q4">
        <v>-6.5</v>
      </c>
      <c r="R4">
        <v>-6.5</v>
      </c>
      <c r="S4">
        <f>AVERAGE(P4:R4)</f>
        <v>-6.5</v>
      </c>
      <c r="T4">
        <f>_xlfn.STDEV.S(P4:R4)</f>
        <v>0</v>
      </c>
      <c r="W4" t="s">
        <v>11</v>
      </c>
      <c r="AB4" t="s">
        <v>113</v>
      </c>
      <c r="AC4">
        <v>1</v>
      </c>
      <c r="AD4">
        <v>2</v>
      </c>
      <c r="AE4">
        <v>3</v>
      </c>
      <c r="AF4" t="s">
        <v>114</v>
      </c>
      <c r="AG4">
        <v>1</v>
      </c>
      <c r="AH4">
        <v>2</v>
      </c>
      <c r="AI4">
        <v>3</v>
      </c>
      <c r="AJ4" t="s">
        <v>115</v>
      </c>
      <c r="AK4">
        <v>1</v>
      </c>
      <c r="AL4">
        <v>2</v>
      </c>
      <c r="AM4">
        <v>3</v>
      </c>
      <c r="AN4" t="s">
        <v>115</v>
      </c>
    </row>
    <row r="5" spans="1:48">
      <c r="A5" t="s">
        <v>116</v>
      </c>
      <c r="B5">
        <v>18</v>
      </c>
      <c r="C5">
        <v>19</v>
      </c>
      <c r="D5">
        <v>18</v>
      </c>
      <c r="E5">
        <f>AVERAGE(B5:D5)</f>
        <v>18.333333333333332</v>
      </c>
      <c r="F5">
        <f>_xlfn.STDEV.S(B5:D5)</f>
        <v>0.57735026918962584</v>
      </c>
      <c r="G5" s="6"/>
      <c r="H5" t="s">
        <v>116</v>
      </c>
      <c r="I5">
        <v>30</v>
      </c>
      <c r="J5">
        <v>30</v>
      </c>
      <c r="K5">
        <v>30</v>
      </c>
      <c r="L5">
        <f>AVERAGE(I5:K5)</f>
        <v>30</v>
      </c>
      <c r="M5">
        <f>_xlfn.STDEV.S(I5:K5)</f>
        <v>0</v>
      </c>
      <c r="N5" s="6"/>
      <c r="O5" t="s">
        <v>116</v>
      </c>
      <c r="P5">
        <v>44</v>
      </c>
      <c r="Q5">
        <v>43</v>
      </c>
      <c r="R5">
        <v>44</v>
      </c>
      <c r="S5">
        <f>AVERAGE(P5:R5)</f>
        <v>43.666666666666664</v>
      </c>
      <c r="T5">
        <f>_xlfn.STDEV.S(P5:R5)</f>
        <v>0.57735026918962584</v>
      </c>
      <c r="W5" s="12">
        <v>9</v>
      </c>
      <c r="Y5" t="s">
        <v>13</v>
      </c>
      <c r="AA5" t="s">
        <v>117</v>
      </c>
      <c r="AB5" t="s">
        <v>118</v>
      </c>
      <c r="AC5">
        <f>(B45)*(($AR$2/B7)^2+($AS$2/B6)^2)^0.5+$F$45</f>
        <v>17.59598306691241</v>
      </c>
      <c r="AD5">
        <f t="shared" ref="AD5:AE5" si="0">(C45)*(($AR$2/C7)^2+($AS$2/C6)^2)^0.5+$F$45</f>
        <v>17.493325422512715</v>
      </c>
      <c r="AE5">
        <f t="shared" si="0"/>
        <v>17.493325422512715</v>
      </c>
      <c r="AF5">
        <f>MAX(AC5:AE5)</f>
        <v>17.59598306691241</v>
      </c>
      <c r="AG5">
        <f>B46*(($AD$2/B39)^2+((($AH$1)^2+($AV$2/(60/8.3316))^2)^0.5*$A$65/B33)^2)^0.5+$F$46</f>
        <v>12.095765154670076</v>
      </c>
      <c r="AH5">
        <f t="shared" ref="AH5:AI5" si="1">C46*(($AD$2/C39)^2+((($AH$1)^2+($AV$2/(60/8.3316))^2)^0.5*$A$65/C33)^2)^0.5+$F$46</f>
        <v>12.03906843828303</v>
      </c>
      <c r="AI5">
        <f t="shared" si="1"/>
        <v>11.903451058118216</v>
      </c>
      <c r="AJ5">
        <f>MAX(AG5:AI5)</f>
        <v>12.095765154670076</v>
      </c>
      <c r="AK5">
        <f>B56*((AG5/B46)^2+(AC5/B45)^2)^2</f>
        <v>3.7288532374876195E-4</v>
      </c>
      <c r="AL5">
        <f t="shared" ref="AL5:AM5" si="2">C56*((AH5/C46)^2+(AD5/C45)^2)^2</f>
        <v>3.383126638808128E-4</v>
      </c>
      <c r="AM5">
        <f t="shared" si="2"/>
        <v>3.7724828619782418E-4</v>
      </c>
      <c r="AN5">
        <f>MAX(AK5:AM5)</f>
        <v>3.7724828619782418E-4</v>
      </c>
    </row>
    <row r="6" spans="1:48">
      <c r="A6" t="s">
        <v>14</v>
      </c>
      <c r="B6">
        <v>94</v>
      </c>
      <c r="C6">
        <v>93</v>
      </c>
      <c r="D6">
        <v>93</v>
      </c>
      <c r="E6">
        <f>AVERAGE(B6:D6)</f>
        <v>93.333333333333329</v>
      </c>
      <c r="F6">
        <f>_xlfn.STDEV.S(B6:D6)</f>
        <v>0.57735026918962573</v>
      </c>
      <c r="G6" s="6"/>
      <c r="H6" t="s">
        <v>14</v>
      </c>
      <c r="I6">
        <v>134</v>
      </c>
      <c r="J6">
        <v>133</v>
      </c>
      <c r="K6">
        <v>133</v>
      </c>
      <c r="L6">
        <f>AVERAGE(I6:K6)</f>
        <v>133.33333333333334</v>
      </c>
      <c r="M6">
        <f>_xlfn.STDEV.S(I6:K6)</f>
        <v>0.57735026918962584</v>
      </c>
      <c r="N6" s="6"/>
      <c r="O6" t="s">
        <v>14</v>
      </c>
      <c r="P6">
        <v>178</v>
      </c>
      <c r="Q6">
        <v>178</v>
      </c>
      <c r="R6">
        <v>178</v>
      </c>
      <c r="S6">
        <f>AVERAGE(P6:R6)</f>
        <v>178</v>
      </c>
      <c r="T6">
        <f>_xlfn.STDEV.S(P6:R6)</f>
        <v>0</v>
      </c>
      <c r="W6" s="12">
        <v>9.1</v>
      </c>
      <c r="Y6" s="12">
        <f>AVERAGE(W5:W7)</f>
        <v>9.0333333333333332</v>
      </c>
      <c r="AA6">
        <f>Y6/39.37</f>
        <v>0.22944712556091781</v>
      </c>
      <c r="AB6" t="s">
        <v>119</v>
      </c>
      <c r="AC6">
        <f>(B47)*(($AR$2/B13)^2+($AS$2/B12)^2)^0.5+$F$47</f>
        <v>15.318325422512732</v>
      </c>
      <c r="AD6">
        <f t="shared" ref="AD6:AE6" si="3">(C47)*(($AR$2/C13)^2+($AS$2/C12)^2)^0.5+$F$47</f>
        <v>15.318325422512732</v>
      </c>
      <c r="AE6">
        <f t="shared" si="3"/>
        <v>15.318325422512732</v>
      </c>
      <c r="AF6">
        <f t="shared" ref="AF6:AF19" si="4">MAX(AC6:AE6)</f>
        <v>15.318325422512732</v>
      </c>
      <c r="AG6">
        <f>B48*(($AD$2/B40)^2+((($AH$1)^2+($AV$2/(60/8.3316))^2)^0.5*$A$65/B34)^2)^0.5+$F$48</f>
        <v>9.7527917011791931</v>
      </c>
      <c r="AH6">
        <f t="shared" ref="AH6:AI6" si="5">C48*(($AD$2/C40)^2+((($AH$1)^2+($AV$2/(60/8.3316))^2)^0.5*$A$65/C34)^2)^0.5+$F$48</f>
        <v>9.8024971363172426</v>
      </c>
      <c r="AI6">
        <f t="shared" si="5"/>
        <v>9.7776301168768764</v>
      </c>
      <c r="AJ6">
        <f t="shared" ref="AJ6:AJ19" si="6">MAX(AG6:AI6)</f>
        <v>9.8024971363172426</v>
      </c>
      <c r="AK6">
        <f>B57*((AG6/B48)^2+(AC6/B47)^2)^2</f>
        <v>1.3934322048991427E-4</v>
      </c>
      <c r="AL6">
        <f t="shared" ref="AL6:AM6" si="7">C57*((AH6/C48)^2+(AD6/C47)^2)^2</f>
        <v>1.3912990177220993E-4</v>
      </c>
      <c r="AM6">
        <f t="shared" si="7"/>
        <v>1.3923470947249276E-4</v>
      </c>
      <c r="AN6">
        <f t="shared" ref="AN6:AN19" si="8">MAX(AK6:AM6)</f>
        <v>1.3934322048991427E-4</v>
      </c>
    </row>
    <row r="7" spans="1:48">
      <c r="A7" t="s">
        <v>15</v>
      </c>
      <c r="B7">
        <v>2.9</v>
      </c>
      <c r="C7">
        <v>2.9</v>
      </c>
      <c r="D7">
        <v>2.9</v>
      </c>
      <c r="E7">
        <f>AVERAGE(B7:D7)</f>
        <v>2.9</v>
      </c>
      <c r="F7">
        <f>_xlfn.STDEV.S(B7:D7)</f>
        <v>0</v>
      </c>
      <c r="G7" s="6"/>
      <c r="H7" t="s">
        <v>15</v>
      </c>
      <c r="I7">
        <v>4.3</v>
      </c>
      <c r="J7">
        <v>4.3</v>
      </c>
      <c r="K7">
        <v>4.3</v>
      </c>
      <c r="L7">
        <f>AVERAGE(I7:K7)</f>
        <v>4.3</v>
      </c>
      <c r="M7">
        <f>_xlfn.STDEV.S(I7:K7)</f>
        <v>0</v>
      </c>
      <c r="N7" s="6"/>
      <c r="O7" t="s">
        <v>15</v>
      </c>
      <c r="P7">
        <v>6</v>
      </c>
      <c r="Q7">
        <v>6</v>
      </c>
      <c r="R7">
        <v>6.1</v>
      </c>
      <c r="S7">
        <f>AVERAGE(P7:R7)</f>
        <v>6.0333333333333341</v>
      </c>
      <c r="T7">
        <f>_xlfn.STDEV.S(P7:R7)</f>
        <v>5.7735026918962373E-2</v>
      </c>
      <c r="W7" s="12">
        <v>9</v>
      </c>
      <c r="AB7" t="s">
        <v>120</v>
      </c>
      <c r="AC7">
        <f>(B49)*(($AR$2/B19)^2+($AS$2/B18)^2)^0.5+$F$49</f>
        <v>15.329200076977271</v>
      </c>
      <c r="AD7">
        <f t="shared" ref="AD7:AE7" si="9">(C49)*(($AR$2/C19)^2+($AS$2/C18)^2)^0.5+$F$49</f>
        <v>15.329200076977271</v>
      </c>
      <c r="AE7">
        <f t="shared" si="9"/>
        <v>15.329200076977271</v>
      </c>
      <c r="AF7">
        <f t="shared" si="4"/>
        <v>15.329200076977271</v>
      </c>
      <c r="AG7">
        <f>B50*(($AD$2/B41)^2+((($AH$1)^2+($AV$2/(60/8.3316))^2)^0.5*$A$65/B35)^2)^0.5+$F$50</f>
        <v>9.4021049209224206</v>
      </c>
      <c r="AH7">
        <f t="shared" ref="AH7:AI7" si="10">C50*(($AD$2/C41)^2+((($AH$1)^2+($AV$2/(60/8.3316))^2)^0.5*$A$65/C35)^2)^0.5+$F$50</f>
        <v>9.3177675711169492</v>
      </c>
      <c r="AI7">
        <f t="shared" si="10"/>
        <v>9.3177675711169492</v>
      </c>
      <c r="AJ7">
        <f t="shared" si="6"/>
        <v>9.4021049209224206</v>
      </c>
      <c r="AK7">
        <f>B58*((AG7/B50)^2+(AC7/B49)^2)^2</f>
        <v>1.8822537301064983E-4</v>
      </c>
      <c r="AL7">
        <f t="shared" ref="AL7:AM7" si="11">C58*((AH7/C50)^2+(AD7/C49)^2)^2</f>
        <v>1.959441538225735E-4</v>
      </c>
      <c r="AM7">
        <f t="shared" si="11"/>
        <v>1.959441538225735E-4</v>
      </c>
      <c r="AN7">
        <f t="shared" si="8"/>
        <v>1.959441538225735E-4</v>
      </c>
    </row>
    <row r="8" spans="1:48">
      <c r="G8" s="6"/>
      <c r="N8" s="6"/>
      <c r="AB8" t="s">
        <v>121</v>
      </c>
      <c r="AC8">
        <f>(B51)*(($AR$2/B25)^2+($AS$2/B24)^2)^0.5+$F$51</f>
        <v>15.329200076977271</v>
      </c>
      <c r="AD8">
        <f t="shared" ref="AD8:AE8" si="12">(C51)*(($AR$2/C25)^2+($AS$2/C24)^2)^0.5+$F$51</f>
        <v>15.329200076977271</v>
      </c>
      <c r="AE8">
        <f t="shared" si="12"/>
        <v>15.329200076977271</v>
      </c>
      <c r="AF8">
        <f t="shared" si="4"/>
        <v>15.329200076977271</v>
      </c>
      <c r="AG8">
        <f>B52*(($AD$2/B42)^2+((($AH$1)^2+($AV$2/(60/8.3316))^2)^0.5*$A$65/B36)^2)^0.5+$F$52</f>
        <v>8.7233504438422145</v>
      </c>
      <c r="AH8">
        <f t="shared" ref="AH8:AI8" si="13">C52*(($AD$2/C42)^2+((($AH$1)^2+($AV$2/(60/8.3316))^2)^0.5*$A$65/C36)^2)^0.5+$F$52</f>
        <v>8.8528023234817912</v>
      </c>
      <c r="AI8">
        <f t="shared" si="13"/>
        <v>8.872638952745735</v>
      </c>
      <c r="AJ8">
        <f t="shared" si="6"/>
        <v>8.872638952745735</v>
      </c>
      <c r="AK8">
        <f>B59*((AG8/B52)^2+(AC8/B51)^2)^2</f>
        <v>2.1295884341047049E-4</v>
      </c>
      <c r="AL8">
        <f t="shared" ref="AL8:AM8" si="14">C59*((AH8/C52)^2+(AD8/C51)^2)^2</f>
        <v>2.0790537469179209E-4</v>
      </c>
      <c r="AM8">
        <f t="shared" si="14"/>
        <v>2.0642574475801713E-4</v>
      </c>
      <c r="AN8">
        <f>MAX(AK8:AM8)</f>
        <v>2.1295884341047049E-4</v>
      </c>
    </row>
    <row r="9" spans="1:48">
      <c r="A9" t="s">
        <v>122</v>
      </c>
      <c r="B9">
        <v>27.9</v>
      </c>
      <c r="C9">
        <v>28.1</v>
      </c>
      <c r="D9">
        <v>28</v>
      </c>
      <c r="E9">
        <f>AVERAGE(B9:D9)</f>
        <v>28</v>
      </c>
      <c r="F9">
        <f>_xlfn.STDEV.S(B9:D9)</f>
        <v>0.10000000000000142</v>
      </c>
      <c r="G9" s="6"/>
      <c r="H9" t="s">
        <v>122</v>
      </c>
      <c r="I9">
        <v>42.8</v>
      </c>
      <c r="J9">
        <v>42.5</v>
      </c>
      <c r="K9">
        <v>43</v>
      </c>
      <c r="L9">
        <f>AVERAGE(I9:K9)</f>
        <v>42.766666666666673</v>
      </c>
      <c r="M9">
        <f>_xlfn.STDEV.S(I9:K9)</f>
        <v>0.25166114784235816</v>
      </c>
      <c r="N9" s="6"/>
      <c r="O9" t="s">
        <v>122</v>
      </c>
      <c r="P9">
        <v>57.5</v>
      </c>
      <c r="Q9">
        <v>57.6</v>
      </c>
      <c r="R9">
        <v>57.6</v>
      </c>
      <c r="S9">
        <f>AVERAGE(P9:R9)</f>
        <v>57.566666666666663</v>
      </c>
      <c r="T9">
        <f>_xlfn.STDEV.S(P9:R9)</f>
        <v>5.7735026918963393E-2</v>
      </c>
      <c r="AB9" t="s">
        <v>123</v>
      </c>
      <c r="AC9">
        <f>(B53)*(($AR$2/B31)^2+($AS$2/B30)^2)^0.5+$F$53</f>
        <v>15.233437471152071</v>
      </c>
      <c r="AD9">
        <f t="shared" ref="AD9:AE9" si="15">(C53)*(($AR$2/C31)^2+($AS$2/C30)^2)^0.5+$F$53</f>
        <v>15.233437471152071</v>
      </c>
      <c r="AE9">
        <f t="shared" si="15"/>
        <v>15.233437471152071</v>
      </c>
      <c r="AF9">
        <f t="shared" si="4"/>
        <v>15.233437471152071</v>
      </c>
      <c r="AG9">
        <f>B54*(($AD$2/B43)^2+((($AH$1)^2+($AV$2/(60/8.3316))^2)^0.5*$A$65/B37)^2)^0.5+$F$54</f>
        <v>8.0431275245728422</v>
      </c>
      <c r="AH9">
        <f t="shared" ref="AH9:AI9" si="16">C54*(($AD$2/C43)^2+((($AH$1)^2+($AV$2/(60/8.3316))^2)^0.5*$A$65/C37)^2)^0.5+$F$54</f>
        <v>8.084638412725301</v>
      </c>
      <c r="AI9">
        <f t="shared" si="16"/>
        <v>7.9479631962261603</v>
      </c>
      <c r="AJ9">
        <f t="shared" si="6"/>
        <v>8.084638412725301</v>
      </c>
      <c r="AK9">
        <f>B60*((AG9/B54)^2+(AC9/B53)^2)^2</f>
        <v>3.7449562323363795E-4</v>
      </c>
      <c r="AL9">
        <f t="shared" ref="AL9:AM9" si="17">C60*((AH9/C54)^2+(AD9/C53)^2)^2</f>
        <v>3.5493676380011059E-4</v>
      </c>
      <c r="AM9">
        <f t="shared" si="17"/>
        <v>3.6163674731794963E-4</v>
      </c>
      <c r="AN9">
        <f t="shared" si="8"/>
        <v>3.7449562323363795E-4</v>
      </c>
    </row>
    <row r="10" spans="1:48">
      <c r="A10" t="s">
        <v>124</v>
      </c>
      <c r="B10">
        <v>0</v>
      </c>
      <c r="C10">
        <v>0</v>
      </c>
      <c r="D10">
        <v>0</v>
      </c>
      <c r="E10">
        <f>AVERAGE(B10:D10)</f>
        <v>0</v>
      </c>
      <c r="F10">
        <f>_xlfn.STDEV.S(B10:D10)</f>
        <v>0</v>
      </c>
      <c r="G10" s="6"/>
      <c r="H10" t="s">
        <v>124</v>
      </c>
      <c r="I10">
        <v>-1.5</v>
      </c>
      <c r="J10">
        <v>-1.5</v>
      </c>
      <c r="K10">
        <v>-1.5</v>
      </c>
      <c r="L10">
        <f>AVERAGE(I10:K10)</f>
        <v>-1.5</v>
      </c>
      <c r="M10">
        <f>_xlfn.STDEV.S(I10:K10)</f>
        <v>0</v>
      </c>
      <c r="N10" s="6"/>
      <c r="O10" t="s">
        <v>124</v>
      </c>
      <c r="P10">
        <v>-4.0999999999999996</v>
      </c>
      <c r="Q10">
        <v>-4.0999999999999996</v>
      </c>
      <c r="R10">
        <v>-4.2</v>
      </c>
      <c r="S10">
        <f>AVERAGE(P10:R10)</f>
        <v>-4.1333333333333329</v>
      </c>
      <c r="T10">
        <f>_xlfn.STDEV.S(P10:R10)</f>
        <v>5.773502691896288E-2</v>
      </c>
      <c r="W10" t="s">
        <v>18</v>
      </c>
      <c r="X10" s="14"/>
      <c r="AB10" t="s">
        <v>125</v>
      </c>
      <c r="AC10">
        <f>(I45)*(($AR$2/I7)^2+($AS$2/I6)^2)^0.5+$M$45</f>
        <v>25.541344206657048</v>
      </c>
      <c r="AD10">
        <f t="shared" ref="AD10:AE10" si="18">(J45)*(($AR$2/J7)^2+($AS$2/J6)^2)^0.5+$M$45</f>
        <v>25.440165850157317</v>
      </c>
      <c r="AE10">
        <f t="shared" si="18"/>
        <v>25.440165850157317</v>
      </c>
      <c r="AF10">
        <f t="shared" si="4"/>
        <v>25.541344206657048</v>
      </c>
      <c r="AG10">
        <f>I46*(($AD$2/I39)^2+((($AH$1)^2+($AV$2/(60/8.3316))^2)^0.5*$A$65/I33)^2)^0.5+$M$46</f>
        <v>17.782008515881824</v>
      </c>
      <c r="AH10">
        <f t="shared" ref="AH10:AI10" si="19">J46*(($AD$2/J39)^2+((($AH$1)^2+($AV$2/(60/8.3316))^2)^0.5*$A$65/J33)^2)^0.5+$M$46</f>
        <v>17.75600750432374</v>
      </c>
      <c r="AI10">
        <f t="shared" si="19"/>
        <v>17.808021843485513</v>
      </c>
      <c r="AJ10">
        <f t="shared" si="6"/>
        <v>17.808021843485513</v>
      </c>
      <c r="AK10">
        <f>I56*((AG10/I46)^2+(AC10/I45)^2)^2</f>
        <v>2.6839017287673888E-5</v>
      </c>
      <c r="AL10">
        <f t="shared" ref="AL10:AM10" si="20">J56*((AH10/J46)^2+(AD10/J45)^2)^2</f>
        <v>2.7078789872438198E-5</v>
      </c>
      <c r="AM10">
        <f t="shared" si="20"/>
        <v>2.7088371891738981E-5</v>
      </c>
      <c r="AN10">
        <f t="shared" si="8"/>
        <v>2.7088371891738981E-5</v>
      </c>
    </row>
    <row r="11" spans="1:48">
      <c r="A11" t="s">
        <v>126</v>
      </c>
      <c r="B11">
        <v>24</v>
      </c>
      <c r="C11">
        <v>24</v>
      </c>
      <c r="D11">
        <v>24</v>
      </c>
      <c r="E11">
        <f>AVERAGE(B11:D11)</f>
        <v>24</v>
      </c>
      <c r="F11">
        <f>_xlfn.STDEV.S(B11:D11)</f>
        <v>0</v>
      </c>
      <c r="G11" s="6"/>
      <c r="H11" t="s">
        <v>126</v>
      </c>
      <c r="I11">
        <v>43</v>
      </c>
      <c r="J11">
        <v>43</v>
      </c>
      <c r="K11">
        <v>43</v>
      </c>
      <c r="L11">
        <f>AVERAGE(I11:K11)</f>
        <v>43</v>
      </c>
      <c r="M11">
        <f>_xlfn.STDEV.S(I11:K11)</f>
        <v>0</v>
      </c>
      <c r="N11" s="6"/>
      <c r="O11" t="s">
        <v>126</v>
      </c>
      <c r="P11">
        <v>69</v>
      </c>
      <c r="Q11">
        <v>68</v>
      </c>
      <c r="R11">
        <v>69</v>
      </c>
      <c r="S11">
        <f>AVERAGE(P11:R11)</f>
        <v>68.666666666666671</v>
      </c>
      <c r="T11">
        <f>_xlfn.STDEV.S(P11:R11)</f>
        <v>0.57735026918962573</v>
      </c>
      <c r="W11" t="s">
        <v>20</v>
      </c>
      <c r="X11" s="14"/>
      <c r="AB11" t="s">
        <v>127</v>
      </c>
      <c r="AC11">
        <f>(I47)*(($AR$2/I13)^2+($AS$2/I12)^2)^0.5+$M$47</f>
        <v>31.987468057898514</v>
      </c>
      <c r="AD11">
        <f t="shared" ref="AD11:AE11" si="21">(J47)*(($AR$2/J13)^2+($AS$2/J12)^2)^0.5+$M$47</f>
        <v>31.987468057898514</v>
      </c>
      <c r="AE11">
        <f t="shared" si="21"/>
        <v>31.787722061906951</v>
      </c>
      <c r="AF11">
        <f t="shared" si="4"/>
        <v>31.987468057898514</v>
      </c>
      <c r="AG11">
        <f>I48*(($AD$2/I40)^2+((($AH$1)^2+($AV$2/(60/8.3316))^2)^0.5*$A$65/I34)^2)^0.5+$M$48</f>
        <v>17.08386116220284</v>
      </c>
      <c r="AH11">
        <f t="shared" ref="AH11:AI11" si="22">J48*(($AD$2/J40)^2+((($AH$1)^2+($AV$2/(60/8.3316))^2)^0.5*$A$65/J34)^2)^0.5+$M$48</f>
        <v>17.014719276903111</v>
      </c>
      <c r="AI11">
        <f t="shared" si="22"/>
        <v>17.130067852235864</v>
      </c>
      <c r="AJ11">
        <f t="shared" si="6"/>
        <v>17.130067852235864</v>
      </c>
      <c r="AK11">
        <f>I57*((AG11/I48)^2+(AC11/I47)^2)^2</f>
        <v>3.0235117172535744E-5</v>
      </c>
      <c r="AL11">
        <f t="shared" ref="AL11:AM11" si="23">J57*((AH11/J48)^2+(AD11/J47)^2)^2</f>
        <v>3.0335840684548133E-5</v>
      </c>
      <c r="AM11">
        <f t="shared" si="23"/>
        <v>3.1302254962028913E-5</v>
      </c>
      <c r="AN11">
        <f t="shared" si="8"/>
        <v>3.1302254962028913E-5</v>
      </c>
    </row>
    <row r="12" spans="1:48">
      <c r="A12" t="s">
        <v>21</v>
      </c>
      <c r="B12">
        <v>93</v>
      </c>
      <c r="C12">
        <v>93</v>
      </c>
      <c r="D12">
        <v>93</v>
      </c>
      <c r="E12">
        <f>AVERAGE(B12:D12)</f>
        <v>93</v>
      </c>
      <c r="F12">
        <f>_xlfn.STDEV.S(B12:D12)</f>
        <v>0</v>
      </c>
      <c r="G12" s="6"/>
      <c r="H12" t="s">
        <v>21</v>
      </c>
      <c r="I12">
        <v>133</v>
      </c>
      <c r="J12">
        <v>133</v>
      </c>
      <c r="K12">
        <v>133</v>
      </c>
      <c r="L12">
        <f>AVERAGE(I12:K12)</f>
        <v>133</v>
      </c>
      <c r="M12">
        <f>_xlfn.STDEV.S(I12:K12)</f>
        <v>0</v>
      </c>
      <c r="N12" s="6"/>
      <c r="O12" t="s">
        <v>21</v>
      </c>
      <c r="P12">
        <v>178</v>
      </c>
      <c r="Q12">
        <v>178</v>
      </c>
      <c r="R12">
        <v>178</v>
      </c>
      <c r="S12">
        <f>AVERAGE(P12:R12)</f>
        <v>178</v>
      </c>
      <c r="T12">
        <f>_xlfn.STDEV.S(P12:R12)</f>
        <v>0</v>
      </c>
      <c r="AB12" t="s">
        <v>128</v>
      </c>
      <c r="AC12">
        <f>(I49)*(($AR$2/I19)^2+($AS$2/I18)^2)^0.5+$M$49</f>
        <v>21.817484208485169</v>
      </c>
      <c r="AD12">
        <f t="shared" ref="AD12:AE12" si="24">(J49)*(($AR$2/J19)^2+($AS$2/J18)^2)^0.5+$M$49</f>
        <v>21.817484208485169</v>
      </c>
      <c r="AE12">
        <f t="shared" si="24"/>
        <v>21.817484208485169</v>
      </c>
      <c r="AF12">
        <f t="shared" si="4"/>
        <v>21.817484208485169</v>
      </c>
      <c r="AG12">
        <f>I50*(($AD$2/I41)^2+((($AH$1)^2+($AV$2/(60/8.3316))^2)^0.5*$A$65/I35)^2)^0.5+$M$50</f>
        <v>16.549972111135492</v>
      </c>
      <c r="AH12">
        <f t="shared" ref="AH12" si="25">J50*(($AD$2/J41)^2+((($AH$1)^2+($AV$2/(60/8.3316))^2)^0.5*$A$65/J35)^2)^0.5+$M$50</f>
        <v>16.640497111119466</v>
      </c>
      <c r="AI12">
        <f>K50*(($AD$2/K41)^2+((($AH$1)^2+($AV$2/(60/8.3316))^2)^0.5*$A$65/K35)^2)^0.5+$M$50</f>
        <v>16.661437698980201</v>
      </c>
      <c r="AJ12">
        <f t="shared" si="6"/>
        <v>16.661437698980201</v>
      </c>
      <c r="AK12">
        <f>I58*((AG12/I50)^2+(AC12/I49)^2)^2</f>
        <v>2.8082504737041398E-5</v>
      </c>
      <c r="AL12">
        <f t="shared" ref="AL12:AM12" si="26">J58*((AH12/J50)^2+(AD12/J49)^2)^2</f>
        <v>2.776426646363264E-5</v>
      </c>
      <c r="AM12">
        <f t="shared" si="26"/>
        <v>2.7688213017753647E-5</v>
      </c>
      <c r="AN12">
        <f t="shared" si="8"/>
        <v>2.8082504737041398E-5</v>
      </c>
    </row>
    <row r="13" spans="1:48">
      <c r="A13" t="s">
        <v>22</v>
      </c>
      <c r="B13">
        <v>2.9</v>
      </c>
      <c r="C13">
        <v>2.9</v>
      </c>
      <c r="D13">
        <v>2.9</v>
      </c>
      <c r="E13">
        <f>AVERAGE(B13:D13)</f>
        <v>2.9</v>
      </c>
      <c r="F13">
        <f>_xlfn.STDEV.S(B13:D13)</f>
        <v>0</v>
      </c>
      <c r="G13" s="6"/>
      <c r="H13" t="s">
        <v>22</v>
      </c>
      <c r="I13">
        <v>4.2</v>
      </c>
      <c r="J13">
        <v>4.2</v>
      </c>
      <c r="K13">
        <v>4.0999999999999996</v>
      </c>
      <c r="L13">
        <f>AVERAGE(I13:K13)</f>
        <v>4.166666666666667</v>
      </c>
      <c r="M13">
        <f>_xlfn.STDEV.S(I13:K13)</f>
        <v>5.773502691896288E-2</v>
      </c>
      <c r="N13" s="6"/>
      <c r="O13" t="s">
        <v>22</v>
      </c>
      <c r="P13">
        <v>5.8</v>
      </c>
      <c r="Q13">
        <v>5.8</v>
      </c>
      <c r="R13">
        <v>5.8</v>
      </c>
      <c r="S13">
        <f>AVERAGE(P13:R13)</f>
        <v>5.8</v>
      </c>
      <c r="T13">
        <f>_xlfn.STDEV.S(P13:R13)</f>
        <v>0</v>
      </c>
      <c r="W13" t="s">
        <v>23</v>
      </c>
      <c r="AB13" t="s">
        <v>129</v>
      </c>
      <c r="AC13">
        <f>(I51)*(($AR$2/I25)^2+($AS$2/I24)^2)^0.5+$M$51</f>
        <v>21.337862474952825</v>
      </c>
      <c r="AD13">
        <f t="shared" ref="AD13:AE13" si="27">(J51)*(($AR$2/J25)^2+($AS$2/J24)^2)^0.5+$M$51</f>
        <v>21.337862474952825</v>
      </c>
      <c r="AE13">
        <f t="shared" si="27"/>
        <v>21.337862474952825</v>
      </c>
      <c r="AF13">
        <f t="shared" si="4"/>
        <v>21.337862474952825</v>
      </c>
      <c r="AG13">
        <f>I52*(($AD$2/I42)^2+((($AH$1)^2+($AV$2/(60/8.3316))^2)^0.5*$A$65/I36)^2)^0.5+$M$52</f>
        <v>15.407624569585455</v>
      </c>
      <c r="AH13">
        <f t="shared" ref="AH13:AI13" si="28">J52*(($AD$2/J42)^2+((($AH$1)^2+($AV$2/(60/8.3316))^2)^0.5*$A$65/J36)^2)^0.5+$M$52</f>
        <v>15.441047547017966</v>
      </c>
      <c r="AI13">
        <f t="shared" si="28"/>
        <v>15.424315533234783</v>
      </c>
      <c r="AJ13">
        <f t="shared" si="6"/>
        <v>15.441047547017966</v>
      </c>
      <c r="AK13">
        <f>I59*((AG13/I52)^2+(AC13/I51)^2)^2</f>
        <v>3.264467509759818E-5</v>
      </c>
      <c r="AL13">
        <f t="shared" ref="AL13:AM13" si="29">J59*((AH13/J52)^2+(AD13/J51)^2)^2</f>
        <v>3.2284829620872005E-5</v>
      </c>
      <c r="AM13">
        <f t="shared" si="29"/>
        <v>3.2463550056041789E-5</v>
      </c>
      <c r="AN13">
        <f t="shared" si="8"/>
        <v>3.264467509759818E-5</v>
      </c>
    </row>
    <row r="14" spans="1:48">
      <c r="G14" s="6"/>
      <c r="N14" s="6"/>
      <c r="W14" t="s">
        <v>24</v>
      </c>
      <c r="AA14" t="s">
        <v>130</v>
      </c>
      <c r="AB14" t="s">
        <v>131</v>
      </c>
      <c r="AC14">
        <f>(I53)*(($AR$2/I31)^2+($AS$2/I30)^2)^0.5+$M$53</f>
        <v>21.076868244594593</v>
      </c>
      <c r="AD14">
        <f t="shared" ref="AD14:AE14" si="30">(J53)*(($AR$2/J31)^2+($AS$2/J30)^2)^0.5+$M$53</f>
        <v>21.076868244594593</v>
      </c>
      <c r="AE14">
        <f t="shared" si="30"/>
        <v>21.076868244594593</v>
      </c>
      <c r="AF14">
        <f t="shared" si="4"/>
        <v>21.076868244594593</v>
      </c>
      <c r="AG14">
        <f>I54*(($AD$2/I43)^2+((($AH$1)^2+($AV$2/(60/8.3316))^2)^0.5*$A$65/I37)^2)^0.5+$M$54</f>
        <v>16.420329262900605</v>
      </c>
      <c r="AH14">
        <f t="shared" ref="AH14:AI14" si="31">J54*(($AD$2/J43)^2+((($AH$1)^2+($AV$2/(60/8.3316))^2)^0.5*$A$65/J37)^2)^0.5+$M$54</f>
        <v>16.640728741863281</v>
      </c>
      <c r="AI14">
        <f t="shared" si="31"/>
        <v>16.464949755421863</v>
      </c>
      <c r="AJ14">
        <f t="shared" si="6"/>
        <v>16.640728741863281</v>
      </c>
      <c r="AK14">
        <f>I60*((AG14/I54)^2+(AC14/I53)^2)^2</f>
        <v>1.058402749167994E-4</v>
      </c>
      <c r="AL14">
        <f t="shared" ref="AL14:AM14" si="32">J60*((AH14/J54)^2+(AD14/J53)^2)^2</f>
        <v>1.0206408732827591E-4</v>
      </c>
      <c r="AM14">
        <f t="shared" si="32"/>
        <v>1.0060154471764688E-4</v>
      </c>
      <c r="AN14">
        <f t="shared" si="8"/>
        <v>1.058402749167994E-4</v>
      </c>
    </row>
    <row r="15" spans="1:48">
      <c r="A15" t="s">
        <v>132</v>
      </c>
      <c r="B15">
        <v>24.2</v>
      </c>
      <c r="C15">
        <v>24.2</v>
      </c>
      <c r="D15">
        <v>24.2</v>
      </c>
      <c r="E15">
        <f>AVERAGE(B15:D15)</f>
        <v>24.2</v>
      </c>
      <c r="F15">
        <f>_xlfn.STDEV.S(B15:D15)</f>
        <v>0</v>
      </c>
      <c r="G15" s="6"/>
      <c r="H15" t="s">
        <v>132</v>
      </c>
      <c r="I15">
        <v>37.200000000000003</v>
      </c>
      <c r="J15">
        <v>37.4</v>
      </c>
      <c r="K15">
        <v>37.5</v>
      </c>
      <c r="L15">
        <f>AVERAGE(I15:K15)</f>
        <v>37.366666666666667</v>
      </c>
      <c r="M15">
        <f>_xlfn.STDEV.S(I15:K15)</f>
        <v>0.15275252316519294</v>
      </c>
      <c r="N15" s="6"/>
      <c r="O15" t="s">
        <v>132</v>
      </c>
      <c r="P15">
        <v>50.6</v>
      </c>
      <c r="Q15">
        <v>50.1</v>
      </c>
      <c r="R15">
        <v>50.5</v>
      </c>
      <c r="S15">
        <f>AVERAGE(P15:R15)</f>
        <v>50.4</v>
      </c>
      <c r="T15">
        <f>_xlfn.STDEV.S(P15:R15)</f>
        <v>0.26457513110645881</v>
      </c>
      <c r="AB15" t="s">
        <v>133</v>
      </c>
      <c r="AC15">
        <f>(P45)*(($AR$2/P7)^2+($AS$2/P6)^2)^0.5+$T$45</f>
        <v>43.588303523842036</v>
      </c>
      <c r="AD15">
        <f t="shared" ref="AD15:AE15" si="33">(Q45)*(($AR$2/Q7)^2+($AS$2/Q6)^2)^0.5+$T$45</f>
        <v>43.588303523842036</v>
      </c>
      <c r="AE15">
        <f t="shared" si="33"/>
        <v>43.798591408306521</v>
      </c>
      <c r="AF15">
        <f t="shared" si="4"/>
        <v>43.798591408306521</v>
      </c>
      <c r="AG15">
        <f>P46*(($AD$2/P39)^2+((($AH$1)^2+($AV$2/(60/8.3316))^2)^0.5*$A$65/P33)^2)^0.5+$T$46</f>
        <v>26.462052286521846</v>
      </c>
      <c r="AH15">
        <f t="shared" ref="AH15:AI15" si="34">Q46*(($AD$2/Q39)^2+((($AH$1)^2+($AV$2/(60/8.3316))^2)^0.5*$A$65/Q33)^2)^0.5+$T$46</f>
        <v>26.573673406098862</v>
      </c>
      <c r="AI15">
        <f t="shared" si="34"/>
        <v>26.585810992454988</v>
      </c>
      <c r="AJ15">
        <f t="shared" si="6"/>
        <v>26.585810992454988</v>
      </c>
      <c r="AK15">
        <f>P56*((AG15/P46)^2+(AC15/P45)^2)^2</f>
        <v>8.3614962615056899E-6</v>
      </c>
      <c r="AL15">
        <f t="shared" ref="AL15:AM15" si="35">Q56*((AH15/Q46)^2+(AD15/Q45)^2)^2</f>
        <v>8.509057644147801E-6</v>
      </c>
      <c r="AM15">
        <f t="shared" si="35"/>
        <v>8.143749915373807E-6</v>
      </c>
      <c r="AN15">
        <f t="shared" si="8"/>
        <v>8.509057644147801E-6</v>
      </c>
    </row>
    <row r="16" spans="1:48">
      <c r="A16" t="s">
        <v>134</v>
      </c>
      <c r="B16">
        <v>0.3</v>
      </c>
      <c r="C16">
        <v>0.4</v>
      </c>
      <c r="D16">
        <v>0.4</v>
      </c>
      <c r="E16">
        <f>AVERAGE(B16:D16)</f>
        <v>0.3666666666666667</v>
      </c>
      <c r="F16">
        <f>_xlfn.STDEV.S(B16:D16)</f>
        <v>5.7735026918962519E-2</v>
      </c>
      <c r="G16" s="6"/>
      <c r="H16" t="s">
        <v>134</v>
      </c>
      <c r="I16">
        <v>-0.8</v>
      </c>
      <c r="J16">
        <v>-0.9</v>
      </c>
      <c r="K16">
        <v>-0.9</v>
      </c>
      <c r="L16">
        <f>AVERAGE(I16:K16)</f>
        <v>-0.8666666666666667</v>
      </c>
      <c r="M16">
        <f>_xlfn.STDEV.S(I16:K16)</f>
        <v>5.7735026918962561E-2</v>
      </c>
      <c r="N16" s="6"/>
      <c r="O16" t="s">
        <v>134</v>
      </c>
      <c r="P16">
        <v>-3</v>
      </c>
      <c r="Q16">
        <v>-3</v>
      </c>
      <c r="R16">
        <v>-2.9</v>
      </c>
      <c r="S16">
        <f>AVERAGE(P16:R16)</f>
        <v>-2.9666666666666668</v>
      </c>
      <c r="T16">
        <f>_xlfn.STDEV.S(P16:R16)</f>
        <v>5.773502691896263E-2</v>
      </c>
      <c r="W16" t="s">
        <v>27</v>
      </c>
      <c r="AB16" t="s">
        <v>135</v>
      </c>
      <c r="AC16">
        <f>(P47)*(($AR$2/P13)^2+($AS$2/P12)^2)^0.5+$T$47</f>
        <v>29.823889333888022</v>
      </c>
      <c r="AD16">
        <f t="shared" ref="AD16:AE16" si="36">(Q47)*(($AR$2/Q13)^2+($AS$2/Q12)^2)^0.5+$T$47</f>
        <v>29.823889333888022</v>
      </c>
      <c r="AE16">
        <f t="shared" si="36"/>
        <v>29.823889333888022</v>
      </c>
      <c r="AF16">
        <f t="shared" si="4"/>
        <v>29.823889333888022</v>
      </c>
      <c r="AG16">
        <f>P48*(($AD$2/P40)^2+((($AH$1)^2+($AV$2/(60/8.3316))^2)^0.5*$A$65/P34)^2)^0.5+$T$48</f>
        <v>27.250123967434462</v>
      </c>
      <c r="AH16">
        <f t="shared" ref="AH16:AI16" si="37">Q48*(($AD$2/Q40)^2+((($AH$1)^2+($AV$2/(60/8.3316))^2)^0.5*$A$65/Q34)^2)^0.5+$T$48</f>
        <v>27.127327358329005</v>
      </c>
      <c r="AI16">
        <f t="shared" si="37"/>
        <v>27.319826233867282</v>
      </c>
      <c r="AJ16">
        <f t="shared" si="6"/>
        <v>27.319826233867282</v>
      </c>
      <c r="AK16">
        <f>P57*((AG16/P48)^2+(AC16/P47)^2)^2</f>
        <v>7.3961965009438768E-6</v>
      </c>
      <c r="AL16">
        <f t="shared" ref="AL16:AM16" si="38">Q57*((AH16/Q48)^2+(AD16/Q47)^2)^2</f>
        <v>7.4693098111356607E-6</v>
      </c>
      <c r="AM16">
        <f t="shared" si="38"/>
        <v>7.3538495515737332E-6</v>
      </c>
      <c r="AN16">
        <f t="shared" si="8"/>
        <v>7.4693098111356607E-6</v>
      </c>
    </row>
    <row r="17" spans="1:40">
      <c r="A17" t="s">
        <v>136</v>
      </c>
      <c r="B17">
        <v>26</v>
      </c>
      <c r="C17">
        <v>26</v>
      </c>
      <c r="D17">
        <v>26</v>
      </c>
      <c r="E17">
        <f>AVERAGE(B17:D17)</f>
        <v>26</v>
      </c>
      <c r="F17">
        <f>_xlfn.STDEV.S(B17:D17)</f>
        <v>0</v>
      </c>
      <c r="G17" s="6"/>
      <c r="H17" t="s">
        <v>136</v>
      </c>
      <c r="I17">
        <v>49</v>
      </c>
      <c r="J17">
        <v>49</v>
      </c>
      <c r="K17">
        <v>49</v>
      </c>
      <c r="L17">
        <f>AVERAGE(I17:K17)</f>
        <v>49</v>
      </c>
      <c r="M17">
        <f>_xlfn.STDEV.S(I17:K17)</f>
        <v>0</v>
      </c>
      <c r="N17" s="6"/>
      <c r="O17" t="s">
        <v>136</v>
      </c>
      <c r="P17">
        <v>81</v>
      </c>
      <c r="Q17">
        <v>82</v>
      </c>
      <c r="R17">
        <v>81</v>
      </c>
      <c r="S17">
        <f>AVERAGE(P17:R17)</f>
        <v>81.333333333333329</v>
      </c>
      <c r="T17">
        <f>_xlfn.STDEV.S(P17:R17)</f>
        <v>0.57735026918962573</v>
      </c>
      <c r="W17" t="s">
        <v>29</v>
      </c>
      <c r="AB17" t="s">
        <v>137</v>
      </c>
      <c r="AC17">
        <f>(P49)*(($AR$2/P19)^2+($AS$2/P18)^2)^0.5+$T$49</f>
        <v>29.417979196403007</v>
      </c>
      <c r="AD17">
        <f t="shared" ref="AD17:AE17" si="39">(Q49)*(($AR$2/Q19)^2+($AS$2/Q18)^2)^0.5+$T$49</f>
        <v>29.417979196403007</v>
      </c>
      <c r="AE17">
        <f t="shared" si="39"/>
        <v>29.417979196403007</v>
      </c>
      <c r="AF17">
        <f t="shared" si="4"/>
        <v>29.417979196403007</v>
      </c>
      <c r="AG17">
        <f>P50*(($AD$2/P41)^2+((($AH$1)^2+($AV$2/(60/8.3316))^2)^0.5*$A$65/P35)^2)^0.5+$T$50</f>
        <v>25.225264381013769</v>
      </c>
      <c r="AH17">
        <f t="shared" ref="AH17:AI17" si="40">Q50*(($AD$2/Q41)^2+((($AH$1)^2+($AV$2/(60/8.3316))^2)^0.5*$A$65/Q35)^2)^0.5+$T$50</f>
        <v>25.293520360577556</v>
      </c>
      <c r="AI17">
        <f t="shared" si="40"/>
        <v>25.15310039160596</v>
      </c>
      <c r="AJ17">
        <f t="shared" si="6"/>
        <v>25.293520360577556</v>
      </c>
      <c r="AK17">
        <f>P58*((AG17/P50)^2+(AC17/P49)^2)^2</f>
        <v>6.4743480512681392E-6</v>
      </c>
      <c r="AL17">
        <f t="shared" ref="AL17:AM17" si="41">Q58*((AH17/Q50)^2+(AD17/Q49)^2)^2</f>
        <v>6.5293943749845477E-6</v>
      </c>
      <c r="AM17">
        <f t="shared" si="41"/>
        <v>6.5021449460252985E-6</v>
      </c>
      <c r="AN17">
        <f t="shared" si="8"/>
        <v>6.5293943749845477E-6</v>
      </c>
    </row>
    <row r="18" spans="1:40">
      <c r="A18" t="s">
        <v>30</v>
      </c>
      <c r="B18">
        <v>95</v>
      </c>
      <c r="C18">
        <v>95</v>
      </c>
      <c r="D18">
        <v>95</v>
      </c>
      <c r="E18">
        <f>AVERAGE(B18:D18)</f>
        <v>95</v>
      </c>
      <c r="F18">
        <f>_xlfn.STDEV.S(B18:D18)</f>
        <v>0</v>
      </c>
      <c r="G18" s="6"/>
      <c r="H18" t="s">
        <v>30</v>
      </c>
      <c r="I18">
        <v>134</v>
      </c>
      <c r="J18">
        <v>134</v>
      </c>
      <c r="K18">
        <v>134</v>
      </c>
      <c r="L18">
        <f>AVERAGE(I18:K18)</f>
        <v>134</v>
      </c>
      <c r="M18">
        <f>_xlfn.STDEV.S(I18:K18)</f>
        <v>0</v>
      </c>
      <c r="N18" s="6"/>
      <c r="O18" t="s">
        <v>30</v>
      </c>
      <c r="P18">
        <v>178</v>
      </c>
      <c r="Q18">
        <v>178</v>
      </c>
      <c r="R18">
        <v>178</v>
      </c>
      <c r="S18">
        <f>AVERAGE(P18:R18)</f>
        <v>178</v>
      </c>
      <c r="T18">
        <f>_xlfn.STDEV.S(P18:R18)</f>
        <v>0</v>
      </c>
      <c r="AB18" t="s">
        <v>138</v>
      </c>
      <c r="AC18">
        <f>(P51)*(($AR$2/P25)^2+($AS$2/P24)^2)^0.5+$T$51</f>
        <v>28.548486715586172</v>
      </c>
      <c r="AD18">
        <f t="shared" ref="AD18:AE18" si="42">(Q51)*(($AR$2/Q25)^2+($AS$2/Q24)^2)^0.5+$T$51</f>
        <v>28.548486715586172</v>
      </c>
      <c r="AE18">
        <f t="shared" si="42"/>
        <v>28.548486715586172</v>
      </c>
      <c r="AF18">
        <f t="shared" si="4"/>
        <v>28.548486715586172</v>
      </c>
      <c r="AG18">
        <f>P52*(($AD$2/P42)^2+((($AH$1)^2+($AV$2/(60/8.3316))^2)^0.5*$A$65/P36)^2)^0.5+$T$52</f>
        <v>27.464208796078527</v>
      </c>
      <c r="AH18">
        <f t="shared" ref="AH18:AI18" si="43">Q52*(($AD$2/Q42)^2+((($AH$1)^2+($AV$2/(60/8.3316))^2)^0.5*$A$65/Q36)^2)^0.5+$T$52</f>
        <v>27.109821544360326</v>
      </c>
      <c r="AI18">
        <f t="shared" si="43"/>
        <v>27.450100967092034</v>
      </c>
      <c r="AJ18">
        <f t="shared" si="6"/>
        <v>27.464208796078527</v>
      </c>
      <c r="AK18">
        <f>P59*((AG18/P52)^2+(AC18/P51)^2)^2</f>
        <v>1.4445393469974733E-5</v>
      </c>
      <c r="AL18">
        <f t="shared" ref="AL18:AM18" si="44">Q59*((AH18/Q52)^2+(AD18/Q51)^2)^2</f>
        <v>1.4501815319161178E-5</v>
      </c>
      <c r="AM18">
        <f t="shared" si="44"/>
        <v>1.4520238180259485E-5</v>
      </c>
      <c r="AN18">
        <f t="shared" si="8"/>
        <v>1.4520238180259485E-5</v>
      </c>
    </row>
    <row r="19" spans="1:40">
      <c r="A19" t="s">
        <v>31</v>
      </c>
      <c r="B19">
        <v>2.8</v>
      </c>
      <c r="C19">
        <v>2.8</v>
      </c>
      <c r="D19">
        <v>2.8</v>
      </c>
      <c r="E19">
        <f>AVERAGE(B19:D19)</f>
        <v>2.7999999999999994</v>
      </c>
      <c r="F19">
        <f>_xlfn.STDEV.S(B19:D19)</f>
        <v>5.4389598220420729E-16</v>
      </c>
      <c r="G19" s="6"/>
      <c r="H19" t="s">
        <v>31</v>
      </c>
      <c r="I19">
        <v>4.05</v>
      </c>
      <c r="J19">
        <v>4.05</v>
      </c>
      <c r="K19">
        <v>4.05</v>
      </c>
      <c r="L19">
        <f>AVERAGE(I19:K19)</f>
        <v>4.05</v>
      </c>
      <c r="M19">
        <f>_xlfn.STDEV.S(I19:K19)</f>
        <v>0</v>
      </c>
      <c r="N19" s="6"/>
      <c r="O19" t="s">
        <v>31</v>
      </c>
      <c r="P19">
        <v>5.6</v>
      </c>
      <c r="Q19">
        <v>5.6</v>
      </c>
      <c r="R19">
        <v>5.6</v>
      </c>
      <c r="S19">
        <f>AVERAGE(P19:R19)</f>
        <v>5.5999999999999988</v>
      </c>
      <c r="T19">
        <f>_xlfn.STDEV.S(P19:R19)</f>
        <v>1.0877919644084146E-15</v>
      </c>
      <c r="AB19" t="s">
        <v>139</v>
      </c>
      <c r="AC19">
        <f>(P53)*(($AR$2/P31)^2+($AS$2/P30)^2)^0.5+$T$53</f>
        <v>27.99449722713376</v>
      </c>
      <c r="AD19">
        <f t="shared" ref="AD19:AE19" si="45">(Q53)*(($AR$2/Q31)^2+($AS$2/Q30)^2)^0.5+$T$53</f>
        <v>27.99449722713376</v>
      </c>
      <c r="AE19">
        <f t="shared" si="45"/>
        <v>27.99449722713376</v>
      </c>
      <c r="AF19">
        <f t="shared" si="4"/>
        <v>27.99449722713376</v>
      </c>
      <c r="AG19">
        <f>P54*(($AD$2/P43)^2+((($AH$1)^2+($AV$2/(60/8.3316))^2)^0.5*$A$65/P37)^2)^0.5+$T$54</f>
        <v>26.840962081788195</v>
      </c>
      <c r="AH19">
        <f t="shared" ref="AH19:AI19" si="46">Q54*(($AD$2/Q43)^2+((($AH$1)^2+($AV$2/(60/8.3316))^2)^0.5*$A$65/Q37)^2)^0.5+$T$54</f>
        <v>26.534199186937101</v>
      </c>
      <c r="AI19">
        <f t="shared" si="46"/>
        <v>26.90960771443493</v>
      </c>
      <c r="AJ19">
        <f t="shared" si="6"/>
        <v>26.90960771443493</v>
      </c>
      <c r="AK19">
        <f>P60*((AG19/P54)^2+(AC19/P53)^2)^2</f>
        <v>3.0660644141128126E-5</v>
      </c>
      <c r="AL19">
        <f t="shared" ref="AL19:AM19" si="47">Q60*((AH19/Q54)^2+(AD19/Q53)^2)^2</f>
        <v>2.9879502456841074E-5</v>
      </c>
      <c r="AM19">
        <f t="shared" si="47"/>
        <v>3.0397734216084348E-5</v>
      </c>
      <c r="AN19">
        <f t="shared" si="8"/>
        <v>3.0660644141128126E-5</v>
      </c>
    </row>
    <row r="20" spans="1:40">
      <c r="G20" s="6"/>
      <c r="N20" s="6"/>
      <c r="AD20" t="s">
        <v>140</v>
      </c>
      <c r="AE20" s="26">
        <f>0.1889*(($AH$1)^2+($AV$2/(60/8.3316))^2)^0.5*$A$65</f>
        <v>3.8076292923458323E-5</v>
      </c>
      <c r="AF20" t="s">
        <v>141</v>
      </c>
    </row>
    <row r="21" spans="1:40">
      <c r="A21" t="s">
        <v>142</v>
      </c>
      <c r="B21">
        <v>19.3</v>
      </c>
      <c r="C21">
        <v>19.2</v>
      </c>
      <c r="D21">
        <v>19.3</v>
      </c>
      <c r="E21">
        <f>AVERAGE(B21:D21)</f>
        <v>19.266666666666666</v>
      </c>
      <c r="F21">
        <f>_xlfn.STDEV.S(B21:D21)</f>
        <v>5.77350269189634E-2</v>
      </c>
      <c r="G21" s="6"/>
      <c r="H21" t="s">
        <v>142</v>
      </c>
      <c r="I21">
        <v>29.2</v>
      </c>
      <c r="J21">
        <v>29.4</v>
      </c>
      <c r="K21">
        <v>29.3</v>
      </c>
      <c r="L21">
        <f>AVERAGE(I21:K21)</f>
        <v>29.299999999999997</v>
      </c>
      <c r="M21">
        <f>_xlfn.STDEV.S(I21:K21)</f>
        <v>9.9999999999999645E-2</v>
      </c>
      <c r="N21" s="6"/>
      <c r="O21" t="s">
        <v>142</v>
      </c>
      <c r="P21">
        <v>39.299999999999997</v>
      </c>
      <c r="Q21">
        <v>39.299999999999997</v>
      </c>
      <c r="R21">
        <v>39.200000000000003</v>
      </c>
      <c r="S21">
        <f>AVERAGE(P21:R21)</f>
        <v>39.266666666666666</v>
      </c>
      <c r="T21">
        <f>_xlfn.STDEV.S(P21:R21)</f>
        <v>5.7735026918959292E-2</v>
      </c>
    </row>
    <row r="22" spans="1:40">
      <c r="A22" t="s">
        <v>143</v>
      </c>
      <c r="B22">
        <v>0.5</v>
      </c>
      <c r="C22">
        <v>0.5</v>
      </c>
      <c r="D22">
        <v>0.5</v>
      </c>
      <c r="E22">
        <f>AVERAGE(B22:D22)</f>
        <v>0.5</v>
      </c>
      <c r="F22">
        <f>_xlfn.STDEV.S(B22:D22)</f>
        <v>0</v>
      </c>
      <c r="G22" s="6"/>
      <c r="H22" t="s">
        <v>143</v>
      </c>
      <c r="I22">
        <v>0</v>
      </c>
      <c r="J22">
        <v>0</v>
      </c>
      <c r="K22">
        <v>0</v>
      </c>
      <c r="L22">
        <f>AVERAGE(I22:K22)</f>
        <v>0</v>
      </c>
      <c r="M22">
        <f>_xlfn.STDEV.S(I22:K22)</f>
        <v>0</v>
      </c>
      <c r="N22" s="6"/>
      <c r="O22" t="s">
        <v>143</v>
      </c>
      <c r="P22">
        <v>-1</v>
      </c>
      <c r="Q22">
        <v>-1</v>
      </c>
      <c r="R22">
        <v>-1</v>
      </c>
      <c r="S22">
        <f>AVERAGE(P22:R22)</f>
        <v>-1</v>
      </c>
      <c r="T22">
        <f>_xlfn.STDEV.S(P22:R22)</f>
        <v>0</v>
      </c>
    </row>
    <row r="23" spans="1:40">
      <c r="A23" t="s">
        <v>144</v>
      </c>
      <c r="B23">
        <v>30</v>
      </c>
      <c r="C23">
        <v>31</v>
      </c>
      <c r="D23">
        <v>31</v>
      </c>
      <c r="E23">
        <f>AVERAGE(B23:D23)</f>
        <v>30.666666666666668</v>
      </c>
      <c r="F23">
        <f>_xlfn.STDEV.S(B23:D23)</f>
        <v>0.57735026918962584</v>
      </c>
      <c r="G23" s="6"/>
      <c r="H23" t="s">
        <v>144</v>
      </c>
      <c r="I23">
        <v>59</v>
      </c>
      <c r="J23">
        <v>59</v>
      </c>
      <c r="K23">
        <v>59</v>
      </c>
      <c r="L23">
        <f>AVERAGE(I23:K23)</f>
        <v>59</v>
      </c>
      <c r="M23">
        <f>_xlfn.STDEV.S(I23:K23)</f>
        <v>0</v>
      </c>
      <c r="N23" s="6"/>
      <c r="O23" t="s">
        <v>144</v>
      </c>
      <c r="P23">
        <v>99</v>
      </c>
      <c r="Q23">
        <v>97</v>
      </c>
      <c r="R23">
        <v>99</v>
      </c>
      <c r="S23">
        <f>AVERAGE(P23:R23)</f>
        <v>98.333333333333329</v>
      </c>
      <c r="T23">
        <f>_xlfn.STDEV.S(P23:R23)</f>
        <v>1.1547005383792517</v>
      </c>
      <c r="V23" t="s">
        <v>145</v>
      </c>
      <c r="W23">
        <v>998.21</v>
      </c>
    </row>
    <row r="24" spans="1:40">
      <c r="A24" t="s">
        <v>35</v>
      </c>
      <c r="B24">
        <v>95</v>
      </c>
      <c r="C24">
        <v>95</v>
      </c>
      <c r="D24">
        <v>95</v>
      </c>
      <c r="E24">
        <f>AVERAGE(B24:D24)</f>
        <v>95</v>
      </c>
      <c r="F24">
        <f>_xlfn.STDEV.S(B24:D24)</f>
        <v>0</v>
      </c>
      <c r="G24" s="6"/>
      <c r="H24" t="s">
        <v>35</v>
      </c>
      <c r="I24">
        <v>134</v>
      </c>
      <c r="J24">
        <v>134</v>
      </c>
      <c r="K24">
        <v>134</v>
      </c>
      <c r="L24">
        <f>AVERAGE(I24:K24)</f>
        <v>134</v>
      </c>
      <c r="M24">
        <f>_xlfn.STDEV.S(I24:K24)</f>
        <v>0</v>
      </c>
      <c r="N24" s="6"/>
      <c r="O24" t="s">
        <v>35</v>
      </c>
      <c r="P24">
        <v>179</v>
      </c>
      <c r="Q24">
        <v>179</v>
      </c>
      <c r="R24">
        <v>179</v>
      </c>
      <c r="S24">
        <f>AVERAGE(P24:R24)</f>
        <v>179</v>
      </c>
      <c r="T24">
        <f>_xlfn.STDEV.S(P24:R24)</f>
        <v>0</v>
      </c>
      <c r="V24" t="s">
        <v>146</v>
      </c>
      <c r="W24">
        <v>9.8066499999999994</v>
      </c>
    </row>
    <row r="25" spans="1:40">
      <c r="A25" t="s">
        <v>36</v>
      </c>
      <c r="B25">
        <v>2.8</v>
      </c>
      <c r="C25">
        <v>2.8</v>
      </c>
      <c r="D25">
        <v>2.8</v>
      </c>
      <c r="E25">
        <f>AVERAGE(B25:D25)</f>
        <v>2.7999999999999994</v>
      </c>
      <c r="F25">
        <f>_xlfn.STDEV.S(B25:D25)</f>
        <v>5.4389598220420729E-16</v>
      </c>
      <c r="G25" s="6"/>
      <c r="H25" t="s">
        <v>36</v>
      </c>
      <c r="I25">
        <v>3.8</v>
      </c>
      <c r="J25">
        <v>3.8</v>
      </c>
      <c r="K25">
        <v>3.8</v>
      </c>
      <c r="L25">
        <f>AVERAGE(I25:K25)</f>
        <v>3.7999999999999994</v>
      </c>
      <c r="M25">
        <f>_xlfn.STDEV.S(I25:K25)</f>
        <v>5.4389598220420729E-16</v>
      </c>
      <c r="N25" s="6"/>
      <c r="O25" t="s">
        <v>36</v>
      </c>
      <c r="P25">
        <v>5.0999999999999996</v>
      </c>
      <c r="Q25">
        <v>5.0999999999999996</v>
      </c>
      <c r="R25">
        <v>5.0999999999999996</v>
      </c>
      <c r="S25">
        <f>AVERAGE(P25:R25)</f>
        <v>5.0999999999999996</v>
      </c>
      <c r="T25">
        <f>_xlfn.STDEV.S(P25:R25)</f>
        <v>0</v>
      </c>
    </row>
    <row r="26" spans="1:40">
      <c r="G26" s="6"/>
      <c r="N26" s="6"/>
    </row>
    <row r="27" spans="1:40" ht="16.5" thickBot="1">
      <c r="A27" t="s">
        <v>147</v>
      </c>
      <c r="B27">
        <v>12.9</v>
      </c>
      <c r="C27">
        <v>13.2</v>
      </c>
      <c r="D27">
        <v>13.1</v>
      </c>
      <c r="E27">
        <f>AVERAGE(B27:D27)</f>
        <v>13.066666666666668</v>
      </c>
      <c r="F27">
        <f>_xlfn.STDEV.S(B27:D27)</f>
        <v>0.15275252316519414</v>
      </c>
      <c r="G27" s="6"/>
      <c r="H27" t="s">
        <v>147</v>
      </c>
      <c r="I27">
        <v>19.600000000000001</v>
      </c>
      <c r="J27">
        <v>19.899999999999999</v>
      </c>
      <c r="K27">
        <v>20</v>
      </c>
      <c r="L27">
        <f>AVERAGE(I27:K27)</f>
        <v>19.833333333333332</v>
      </c>
      <c r="M27">
        <f>_xlfn.STDEV.S(I27:K27)</f>
        <v>0.20816659994661224</v>
      </c>
      <c r="N27" s="6"/>
      <c r="O27" t="s">
        <v>147</v>
      </c>
      <c r="P27">
        <v>26.5</v>
      </c>
      <c r="Q27">
        <v>26.7</v>
      </c>
      <c r="R27">
        <v>26.6</v>
      </c>
      <c r="S27">
        <f>AVERAGE(P27:R27)</f>
        <v>26.600000000000005</v>
      </c>
      <c r="T27">
        <f>_xlfn.STDEV.S(P27:R27)</f>
        <v>9.9999999999999645E-2</v>
      </c>
    </row>
    <row r="28" spans="1:40">
      <c r="A28" t="s">
        <v>148</v>
      </c>
      <c r="B28">
        <v>0.6</v>
      </c>
      <c r="C28">
        <v>0.6</v>
      </c>
      <c r="D28">
        <v>0.7</v>
      </c>
      <c r="E28">
        <f>AVERAGE(B28:D28)</f>
        <v>0.6333333333333333</v>
      </c>
      <c r="F28">
        <f>_xlfn.STDEV.S(B28:D28)</f>
        <v>5.7735026918962568E-2</v>
      </c>
      <c r="G28" s="6"/>
      <c r="H28" t="s">
        <v>148</v>
      </c>
      <c r="I28">
        <v>0.5</v>
      </c>
      <c r="J28">
        <v>0.5</v>
      </c>
      <c r="K28">
        <v>0.5</v>
      </c>
      <c r="L28">
        <f>AVERAGE(I28:K28)</f>
        <v>0.5</v>
      </c>
      <c r="M28">
        <f>_xlfn.STDEV.S(I28:K28)</f>
        <v>0</v>
      </c>
      <c r="N28" s="6"/>
      <c r="O28" t="s">
        <v>149</v>
      </c>
      <c r="P28">
        <v>0</v>
      </c>
      <c r="Q28">
        <v>0.1</v>
      </c>
      <c r="R28">
        <v>0.1</v>
      </c>
      <c r="S28">
        <f>AVERAGE(P28:R28)</f>
        <v>6.6666666666666666E-2</v>
      </c>
      <c r="T28">
        <f>_xlfn.STDEV.S(P28:R28)</f>
        <v>5.7735026918962581E-2</v>
      </c>
      <c r="V28" s="17" t="s">
        <v>150</v>
      </c>
      <c r="W28" s="18"/>
    </row>
    <row r="29" spans="1:40">
      <c r="A29" t="s">
        <v>151</v>
      </c>
      <c r="B29">
        <v>35</v>
      </c>
      <c r="C29">
        <v>35</v>
      </c>
      <c r="D29">
        <v>35</v>
      </c>
      <c r="E29">
        <f>AVERAGE(B29:D29)</f>
        <v>35</v>
      </c>
      <c r="F29">
        <f>_xlfn.STDEV.S(B29:D29)</f>
        <v>0</v>
      </c>
      <c r="G29" s="6"/>
      <c r="H29" t="s">
        <v>151</v>
      </c>
      <c r="I29">
        <v>69</v>
      </c>
      <c r="J29">
        <v>70</v>
      </c>
      <c r="K29">
        <v>69</v>
      </c>
      <c r="L29">
        <f>AVERAGE(I29:K29)</f>
        <v>69.333333333333329</v>
      </c>
      <c r="M29">
        <f>_xlfn.STDEV.S(I29:K29)</f>
        <v>0.57735026918962573</v>
      </c>
      <c r="N29" s="6"/>
      <c r="O29" t="s">
        <v>151</v>
      </c>
      <c r="P29">
        <v>117</v>
      </c>
      <c r="Q29">
        <v>116</v>
      </c>
      <c r="R29">
        <v>118</v>
      </c>
      <c r="S29">
        <f>AVERAGE(P29:R29)</f>
        <v>117</v>
      </c>
      <c r="T29">
        <f>_xlfn.STDEV.S(P29:R29)</f>
        <v>1</v>
      </c>
      <c r="V29" s="19" t="s">
        <v>152</v>
      </c>
      <c r="W29" s="20" t="s">
        <v>153</v>
      </c>
    </row>
    <row r="30" spans="1:40">
      <c r="A30" t="s">
        <v>40</v>
      </c>
      <c r="B30">
        <v>95</v>
      </c>
      <c r="C30">
        <v>95</v>
      </c>
      <c r="D30">
        <v>95</v>
      </c>
      <c r="E30">
        <f>AVERAGE(B30:D30)</f>
        <v>95</v>
      </c>
      <c r="F30">
        <f>_xlfn.STDEV.S(B30:D30)</f>
        <v>0</v>
      </c>
      <c r="G30" s="6"/>
      <c r="H30" t="s">
        <v>40</v>
      </c>
      <c r="I30">
        <v>135</v>
      </c>
      <c r="J30">
        <v>135</v>
      </c>
      <c r="K30">
        <v>135</v>
      </c>
      <c r="L30">
        <f>AVERAGE(I30:K30)</f>
        <v>135</v>
      </c>
      <c r="M30">
        <f>_xlfn.STDEV.S(I30:K30)</f>
        <v>0</v>
      </c>
      <c r="N30" s="6"/>
      <c r="O30" t="s">
        <v>40</v>
      </c>
      <c r="P30">
        <v>179</v>
      </c>
      <c r="Q30">
        <v>179</v>
      </c>
      <c r="R30">
        <v>179</v>
      </c>
      <c r="S30">
        <f>AVERAGE(P30:R30)</f>
        <v>179</v>
      </c>
      <c r="T30">
        <f>_xlfn.STDEV.S(P30:R30)</f>
        <v>0</v>
      </c>
      <c r="V30" s="19">
        <v>1</v>
      </c>
      <c r="W30" s="20">
        <v>6894.76</v>
      </c>
    </row>
    <row r="31" spans="1:40">
      <c r="A31" t="s">
        <v>41</v>
      </c>
      <c r="B31">
        <v>2.75</v>
      </c>
      <c r="C31">
        <v>2.75</v>
      </c>
      <c r="D31">
        <v>2.75</v>
      </c>
      <c r="E31">
        <f>AVERAGE(B31:D31)</f>
        <v>2.75</v>
      </c>
      <c r="F31">
        <f>_xlfn.STDEV.S(B31:D31)</f>
        <v>0</v>
      </c>
      <c r="G31" s="6"/>
      <c r="H31" t="s">
        <v>41</v>
      </c>
      <c r="I31">
        <v>3.6</v>
      </c>
      <c r="J31">
        <v>3.6</v>
      </c>
      <c r="K31">
        <v>3.6</v>
      </c>
      <c r="L31">
        <f>AVERAGE(I31:K31)</f>
        <v>3.6</v>
      </c>
      <c r="M31">
        <f>_xlfn.STDEV.S(I31:K31)</f>
        <v>0</v>
      </c>
      <c r="N31" s="6"/>
      <c r="O31" t="s">
        <v>41</v>
      </c>
      <c r="P31">
        <v>4.8</v>
      </c>
      <c r="Q31">
        <v>4.8</v>
      </c>
      <c r="R31">
        <v>4.8</v>
      </c>
      <c r="S31">
        <f>AVERAGE(P31:R31)</f>
        <v>4.8</v>
      </c>
      <c r="T31">
        <f>_xlfn.STDEV.S(P31:R31)</f>
        <v>0</v>
      </c>
      <c r="V31" s="19"/>
      <c r="W31" s="20"/>
    </row>
    <row r="32" spans="1:40">
      <c r="A32" s="11" t="s">
        <v>42</v>
      </c>
      <c r="B32" s="10"/>
      <c r="C32" s="10"/>
      <c r="D32" s="10"/>
      <c r="E32" s="10"/>
      <c r="F32" s="10"/>
      <c r="G32" s="6"/>
      <c r="H32" s="11" t="s">
        <v>42</v>
      </c>
      <c r="I32" s="10"/>
      <c r="J32" s="10"/>
      <c r="K32" s="10"/>
      <c r="L32" s="10"/>
      <c r="M32" s="10"/>
      <c r="N32" s="6"/>
      <c r="O32" s="11" t="s">
        <v>42</v>
      </c>
      <c r="P32" s="10"/>
      <c r="Q32" s="10"/>
      <c r="R32" s="10"/>
      <c r="S32" s="10"/>
      <c r="T32" s="10"/>
      <c r="V32" s="19" t="s">
        <v>154</v>
      </c>
      <c r="W32" s="20" t="s">
        <v>153</v>
      </c>
      <c r="Y32" s="2"/>
      <c r="AA32" s="2"/>
    </row>
    <row r="33" spans="1:23" ht="16.5" thickBot="1">
      <c r="A33" t="s">
        <v>155</v>
      </c>
      <c r="B33">
        <f>(0.1889*B3-0.2553)*$A$65</f>
        <v>2.7889187760000004E-3</v>
      </c>
      <c r="C33">
        <f t="shared" ref="C33:D33" si="48">(0.1889*C3-0.2553)*$A$65</f>
        <v>2.7460762559999999E-3</v>
      </c>
      <c r="D33">
        <f t="shared" si="48"/>
        <v>2.7289392480000008E-3</v>
      </c>
      <c r="E33">
        <f>AVERAGE(B33:D33)</f>
        <v>2.7546447600000005E-3</v>
      </c>
      <c r="F33">
        <f>_xlfn.STDEV.S(B33:D33)</f>
        <v>3.0894180526018179E-5</v>
      </c>
      <c r="G33" s="6"/>
      <c r="H33" t="s">
        <v>155</v>
      </c>
      <c r="I33">
        <f>(0.1889*I3-0.2553)*$A$65</f>
        <v>4.356955008E-3</v>
      </c>
      <c r="J33">
        <f t="shared" ref="J33:K33" si="49">(0.1889*J3-0.2553)*$A$65</f>
        <v>4.3483865040000007E-3</v>
      </c>
      <c r="K33">
        <f t="shared" si="49"/>
        <v>4.3655235120000002E-3</v>
      </c>
      <c r="L33">
        <f>AVERAGE(I33:K33)</f>
        <v>4.356955008E-3</v>
      </c>
      <c r="M33">
        <f>_xlfn.STDEV.S(I33:K33)</f>
        <v>8.5685039999997513E-6</v>
      </c>
      <c r="N33" s="6"/>
      <c r="O33" t="s">
        <v>155</v>
      </c>
      <c r="P33">
        <f>(0.1889*P3-0.2553)*$A$65</f>
        <v>5.8393062000000008E-3</v>
      </c>
      <c r="Q33">
        <f>(0.1889*Q3-0.2553)*$A$65</f>
        <v>5.9164227360000007E-3</v>
      </c>
      <c r="R33">
        <f>(0.1889*R3-0.2553)*$A$65</f>
        <v>5.8821487200000008E-3</v>
      </c>
      <c r="S33">
        <f>AVERAGE(P33:R33)</f>
        <v>5.8792925519999999E-3</v>
      </c>
      <c r="T33">
        <f>_xlfn.STDEV.S(P33:R33)</f>
        <v>3.863752454406195E-5</v>
      </c>
      <c r="V33" s="21">
        <v>1</v>
      </c>
      <c r="W33" s="22">
        <v>3386.39</v>
      </c>
    </row>
    <row r="34" spans="1:23">
      <c r="A34" t="s">
        <v>156</v>
      </c>
      <c r="B34">
        <f>(0.1889*B9-0.2553)*$A$65</f>
        <v>2.2748085360000002E-3</v>
      </c>
      <c r="C34">
        <f t="shared" ref="C34:D34" si="50">(0.1889*C9-0.2553)*$A$65</f>
        <v>2.2919455440000005E-3</v>
      </c>
      <c r="D34">
        <f t="shared" si="50"/>
        <v>2.2833770400000003E-3</v>
      </c>
      <c r="E34">
        <f>AVERAGE(B34:D34)</f>
        <v>2.2833770400000003E-3</v>
      </c>
      <c r="F34">
        <f>_xlfn.STDEV.S(B34:D34)</f>
        <v>8.568504000000185E-6</v>
      </c>
      <c r="G34" s="6"/>
      <c r="H34" t="s">
        <v>156</v>
      </c>
      <c r="I34">
        <f>(0.1889*I9-0.2553)*$A$65</f>
        <v>3.5515156320000004E-3</v>
      </c>
      <c r="J34">
        <f t="shared" ref="J34:K34" si="51">(0.1889*J9-0.2553)*$A$65</f>
        <v>3.5258101200000003E-3</v>
      </c>
      <c r="K34">
        <f t="shared" si="51"/>
        <v>3.5686526400000003E-3</v>
      </c>
      <c r="L34">
        <f>AVERAGE(I34:K34)</f>
        <v>3.5486594640000008E-3</v>
      </c>
      <c r="M34">
        <f>_xlfn.STDEV.S(I34:K34)</f>
        <v>2.1563595519318422E-5</v>
      </c>
      <c r="N34" s="6"/>
      <c r="O34" t="s">
        <v>156</v>
      </c>
      <c r="P34">
        <f>(0.1889*P9-0.2553)*$A$65</f>
        <v>4.8110857200000003E-3</v>
      </c>
      <c r="Q34">
        <f>(0.1889*Q9-0.2553)*$A$65</f>
        <v>4.8196542240000004E-3</v>
      </c>
      <c r="R34">
        <f>(0.1889*R9-0.2553)*$A$65</f>
        <v>4.8196542240000004E-3</v>
      </c>
      <c r="S34">
        <f>AVERAGE(P34:R34)</f>
        <v>4.8167980560000004E-3</v>
      </c>
      <c r="T34">
        <f>_xlfn.STDEV.S(P34:R34)</f>
        <v>4.9470280909524922E-6</v>
      </c>
    </row>
    <row r="35" spans="1:23">
      <c r="A35" t="s">
        <v>157</v>
      </c>
      <c r="B35">
        <f>(0.1889*B15-0.2553)*$A$65</f>
        <v>1.9577738880000002E-3</v>
      </c>
      <c r="C35">
        <f t="shared" ref="C35:D35" si="52">(0.1889*C15-0.2553)*$A$65</f>
        <v>1.9577738880000002E-3</v>
      </c>
      <c r="D35">
        <f t="shared" si="52"/>
        <v>1.9577738880000002E-3</v>
      </c>
      <c r="E35">
        <f>AVERAGE(B35:D35)</f>
        <v>1.9577738880000002E-3</v>
      </c>
      <c r="F35">
        <f>_xlfn.STDEV.S(B35:D35)</f>
        <v>0</v>
      </c>
      <c r="G35" s="6"/>
      <c r="H35" t="s">
        <v>157</v>
      </c>
      <c r="I35">
        <f>(0.1889*I15-0.2553)*$A$65</f>
        <v>3.0716794080000004E-3</v>
      </c>
      <c r="J35">
        <f t="shared" ref="J35:K35" si="53">(0.1889*J15-0.2553)*$A$65</f>
        <v>3.0888164160000004E-3</v>
      </c>
      <c r="K35">
        <f t="shared" si="53"/>
        <v>3.0973849200000001E-3</v>
      </c>
      <c r="L35">
        <f>AVERAGE(I35:K35)</f>
        <v>3.0859602479999999E-3</v>
      </c>
      <c r="M35">
        <f>_xlfn.STDEV.S(I35:K35)</f>
        <v>1.3088606057510488E-5</v>
      </c>
      <c r="N35" s="6"/>
      <c r="O35" t="s">
        <v>157</v>
      </c>
      <c r="P35">
        <f>(0.1889*P15-0.2553)*$A$65</f>
        <v>4.2198589440000005E-3</v>
      </c>
      <c r="Q35">
        <f>(0.1889*Q15-0.2553)*$A$65</f>
        <v>4.1770164240000004E-3</v>
      </c>
      <c r="R35">
        <f>(0.1889*R15-0.2553)*$A$65</f>
        <v>4.2112904400000003E-3</v>
      </c>
      <c r="S35">
        <f>AVERAGE(P35:R35)</f>
        <v>4.2027219360000001E-3</v>
      </c>
      <c r="T35">
        <f>_xlfn.STDEV.S(P35:R35)</f>
        <v>2.2670130691862187E-5</v>
      </c>
    </row>
    <row r="36" spans="1:23">
      <c r="A36" t="s">
        <v>158</v>
      </c>
      <c r="B36">
        <f>(0.1889*B21-0.2553)*$A$65</f>
        <v>1.5379171920000001E-3</v>
      </c>
      <c r="C36">
        <f t="shared" ref="C36:D36" si="54">(0.1889*C21-0.2553)*$A$65</f>
        <v>1.5293486879999999E-3</v>
      </c>
      <c r="D36">
        <f t="shared" si="54"/>
        <v>1.5379171920000001E-3</v>
      </c>
      <c r="E36">
        <f>AVERAGE(B36:D36)</f>
        <v>1.535061024E-3</v>
      </c>
      <c r="F36">
        <f>_xlfn.STDEV.S(B36:D36)</f>
        <v>4.9470280909524922E-6</v>
      </c>
      <c r="G36" s="6"/>
      <c r="H36" t="s">
        <v>158</v>
      </c>
      <c r="I36">
        <f>(0.1889*I21-0.2553)*$A$65</f>
        <v>2.386199088E-3</v>
      </c>
      <c r="J36">
        <f t="shared" ref="J36:K36" si="55">(0.1889*J21-0.2553)*$A$65</f>
        <v>2.4033360959999999E-3</v>
      </c>
      <c r="K36">
        <f t="shared" si="55"/>
        <v>2.3947675920000006E-3</v>
      </c>
      <c r="L36">
        <f>AVERAGE(I36:K36)</f>
        <v>2.3947675920000001E-3</v>
      </c>
      <c r="M36">
        <f>_xlfn.STDEV.S(I36:K36)</f>
        <v>8.5685039999999681E-6</v>
      </c>
      <c r="N36" s="6"/>
      <c r="O36" t="s">
        <v>158</v>
      </c>
      <c r="P36">
        <f>(0.1889*P21-0.2553)*$A$65</f>
        <v>3.251617992E-3</v>
      </c>
      <c r="Q36">
        <f>(0.1889*Q21-0.2553)*$A$65</f>
        <v>3.251617992E-3</v>
      </c>
      <c r="R36">
        <f>(0.1889*R21-0.2553)*$A$65</f>
        <v>3.2430494880000007E-3</v>
      </c>
      <c r="S36">
        <f>AVERAGE(P36:R36)</f>
        <v>3.2487618239999999E-3</v>
      </c>
      <c r="T36">
        <f>_xlfn.STDEV.S(P36:R36)</f>
        <v>4.9470280909519916E-6</v>
      </c>
    </row>
    <row r="37" spans="1:23">
      <c r="A37" t="s">
        <v>159</v>
      </c>
      <c r="B37">
        <f>(0.1889*B27-0.2553)*$A$65</f>
        <v>9.8953293600000016E-4</v>
      </c>
      <c r="C37">
        <f t="shared" ref="C37:D37" si="56">(0.1889*C27-0.2553)*$A$65</f>
        <v>1.0152384480000001E-3</v>
      </c>
      <c r="D37">
        <f t="shared" si="56"/>
        <v>1.0066699440000001E-3</v>
      </c>
      <c r="E37">
        <f>AVERAGE(B37:D37)</f>
        <v>1.003813776E-3</v>
      </c>
      <c r="F37">
        <f>_xlfn.STDEV.S(B37:D37)</f>
        <v>1.3088606057510583E-5</v>
      </c>
      <c r="G37" s="6"/>
      <c r="H37" t="s">
        <v>159</v>
      </c>
      <c r="I37">
        <f>(0.1889*I27-0.2553)*$A$65</f>
        <v>1.5636227040000004E-3</v>
      </c>
      <c r="J37">
        <f t="shared" ref="J37:K37" si="57">(0.1889*J27-0.2553)*$A$65</f>
        <v>1.5893282160000001E-3</v>
      </c>
      <c r="K37">
        <f t="shared" si="57"/>
        <v>1.5978967200000003E-3</v>
      </c>
      <c r="L37">
        <f>AVERAGE(I37:K37)</f>
        <v>1.5836158800000002E-3</v>
      </c>
      <c r="M37">
        <f>_xlfn.STDEV.S(I37:K37)</f>
        <v>1.7836763443089454E-5</v>
      </c>
      <c r="N37" s="6"/>
      <c r="O37" t="s">
        <v>159</v>
      </c>
      <c r="P37">
        <f>(0.1889*P27-0.2553)*$A$65</f>
        <v>2.1548494800000002E-3</v>
      </c>
      <c r="Q37">
        <f>(0.1889*Q27-0.2553)*$A$65</f>
        <v>2.1719864880000001E-3</v>
      </c>
      <c r="R37">
        <f>(0.1889*R27-0.2553)*$A$65</f>
        <v>2.1634179840000003E-3</v>
      </c>
      <c r="S37">
        <f>AVERAGE(P37:R37)</f>
        <v>2.1634179840000003E-3</v>
      </c>
      <c r="T37">
        <f>_xlfn.STDEV.S(P37:R37)</f>
        <v>8.5685039999999681E-6</v>
      </c>
    </row>
    <row r="38" spans="1:23">
      <c r="A38" s="27"/>
      <c r="G38" s="6"/>
      <c r="N38" s="6"/>
    </row>
    <row r="39" spans="1:23">
      <c r="A39" t="s">
        <v>160</v>
      </c>
      <c r="B39">
        <f>B5*1000-B4*IF(B4&lt;0,$W$33,$W$30)+$AA$6*$W$23*$W$24</f>
        <v>20246.079961181527</v>
      </c>
      <c r="C39">
        <f t="shared" ref="C39:D39" si="58">C5*1000-C4*IF(C4&lt;0,$W$33,$W$30)+$AA$6*$W$23*$W$24</f>
        <v>21246.079961181527</v>
      </c>
      <c r="D39">
        <f t="shared" si="58"/>
        <v>20246.079961181527</v>
      </c>
      <c r="E39">
        <f>AVERAGE(B39:D39)</f>
        <v>20579.413294514859</v>
      </c>
      <c r="F39">
        <f>_xlfn.STDEV.S(B39:D39)</f>
        <v>577.35026918962581</v>
      </c>
      <c r="G39" s="6"/>
      <c r="H39" t="s">
        <v>160</v>
      </c>
      <c r="I39">
        <f>I5*1000-I4*IF(I4&lt;0,$W$33,$W$30) + $AA$6*$W$23*$W$24</f>
        <v>42405.249961181522</v>
      </c>
      <c r="J39">
        <f t="shared" ref="J39:K39" si="59">J5*1000-J4*IF(J4&lt;0,$W$33,$W$30) + $AA$6*$W$23*$W$24</f>
        <v>42405.249961181522</v>
      </c>
      <c r="K39">
        <f t="shared" si="59"/>
        <v>42405.249961181522</v>
      </c>
      <c r="L39">
        <f>AVERAGE(I39:K39)</f>
        <v>42405.249961181522</v>
      </c>
      <c r="M39">
        <f>_xlfn.STDEV.S(I39:K39)</f>
        <v>0</v>
      </c>
      <c r="N39" s="6"/>
      <c r="O39" t="s">
        <v>160</v>
      </c>
      <c r="P39">
        <f>P5*1000-P4*IF(P4&lt;0,$W$33,$W$30)+$W$23*$W$24*$AA$6</f>
        <v>68257.614961181534</v>
      </c>
      <c r="Q39">
        <f>Q5*1000-Q4*IF(Q4&lt;0,$W$33,$W$30)+$W$23*$W$24*$AA$6</f>
        <v>67257.614961181534</v>
      </c>
      <c r="R39">
        <f>R5*1000-R4*IF(R4&lt;0,$W$33,$W$30)+$W$23*$W$24*$AA$6</f>
        <v>68257.614961181534</v>
      </c>
      <c r="S39">
        <f>AVERAGE(P39:R39)</f>
        <v>67924.281627848206</v>
      </c>
      <c r="T39">
        <f>_xlfn.STDEV.S(P39:R39)</f>
        <v>577.35026918962569</v>
      </c>
    </row>
    <row r="40" spans="1:23">
      <c r="A40" t="s">
        <v>161</v>
      </c>
      <c r="B40">
        <f>B11*1000-B10*IF(B10&lt;0,$W$33,$W$30)+$AA$6*$W$23*$W$24</f>
        <v>26246.079961181527</v>
      </c>
      <c r="C40">
        <f t="shared" ref="C40:D40" si="60">C11*1000-C10*IF(C10&lt;0,$W$33,$W$30)+$AA$6*$W$23*$W$24</f>
        <v>26246.079961181527</v>
      </c>
      <c r="D40">
        <f t="shared" si="60"/>
        <v>26246.079961181527</v>
      </c>
      <c r="E40">
        <f>AVERAGE(B40:D40)</f>
        <v>26246.079961181527</v>
      </c>
      <c r="F40">
        <f>_xlfn.STDEV.S(B40:D40)</f>
        <v>0</v>
      </c>
      <c r="G40" s="6"/>
      <c r="H40" t="s">
        <v>161</v>
      </c>
      <c r="I40">
        <f>I11*1000-I10*IF(I10&lt;0,$W$33,$W$30)+$AA$6*$W$23*$W$24</f>
        <v>50325.664961181523</v>
      </c>
      <c r="J40">
        <f t="shared" ref="J40:K40" si="61">J11*1000-J10*IF(J10&lt;0,$W$33,$W$30)+$AA$6*$W$23*$W$24</f>
        <v>50325.664961181523</v>
      </c>
      <c r="K40">
        <f t="shared" si="61"/>
        <v>50325.664961181523</v>
      </c>
      <c r="L40">
        <f>AVERAGE(I40:K40)</f>
        <v>50325.664961181523</v>
      </c>
      <c r="M40">
        <f>_xlfn.STDEV.S(I40:K40)</f>
        <v>0</v>
      </c>
      <c r="N40" s="6"/>
      <c r="O40" t="s">
        <v>161</v>
      </c>
      <c r="P40">
        <f>P11*1000-P10*IF(P10&lt;0,$W$33,$W$30)+$W$23*$W$24*$AA$6</f>
        <v>85130.278961181524</v>
      </c>
      <c r="Q40">
        <f>Q11*1000-Q10*IF(Q10&lt;0,$W$33,$W$30)+$W$23*$W$24*$AA$6</f>
        <v>84130.278961181524</v>
      </c>
      <c r="R40">
        <f>R11*1000-R10*IF(R10&lt;0,$W$33,$W$30)+$W$23*$W$24*$AA$6</f>
        <v>85468.917961181534</v>
      </c>
      <c r="S40">
        <f>AVERAGE(P40:R40)</f>
        <v>84909.825294514871</v>
      </c>
      <c r="T40">
        <f>_xlfn.STDEV.S(P40:R40)</f>
        <v>696.01613303165539</v>
      </c>
    </row>
    <row r="41" spans="1:23">
      <c r="A41" t="s">
        <v>162</v>
      </c>
      <c r="B41">
        <f>B17*1000-B16*IF(B16&lt;0,$W$33,$W$30)+$AA$6*$W$23*$W$24</f>
        <v>26177.651961181527</v>
      </c>
      <c r="C41">
        <f t="shared" ref="C41:D41" si="62">C17*1000-C16*IF(C16&lt;0,$W$33,$W$30)+$AA$6*$W$23*$W$24</f>
        <v>25488.175961181525</v>
      </c>
      <c r="D41">
        <f t="shared" si="62"/>
        <v>25488.175961181525</v>
      </c>
      <c r="E41">
        <f>AVERAGE(B41:D41)</f>
        <v>25718.001294514859</v>
      </c>
      <c r="F41">
        <f>_xlfn.STDEV.S(B41:D41)</f>
        <v>398.06915419978776</v>
      </c>
      <c r="G41" s="6"/>
      <c r="H41" t="s">
        <v>162</v>
      </c>
      <c r="I41">
        <f>I17*1000-I16*IF(I16&lt;0,$W$33,$W$30)+$AA$6*$W$23*$W$24</f>
        <v>53955.191961181525</v>
      </c>
      <c r="J41">
        <f t="shared" ref="J41:K41" si="63">J17*1000-J16*IF(J16&lt;0,$W$33,$W$30)+$AA$6*$W$23*$W$24</f>
        <v>54293.83096118152</v>
      </c>
      <c r="K41">
        <f t="shared" si="63"/>
        <v>54293.83096118152</v>
      </c>
      <c r="L41">
        <f>AVERAGE(I41:K41)</f>
        <v>54180.951294514853</v>
      </c>
      <c r="M41">
        <f>_xlfn.STDEV.S(I41:K41)</f>
        <v>195.51331780810312</v>
      </c>
      <c r="N41" s="6"/>
      <c r="O41" t="s">
        <v>162</v>
      </c>
      <c r="P41">
        <f>P17*1000-P16*IF(P16&lt;0,$W$33,$W$30)+$W$23*$W$24*$AA$6</f>
        <v>93405.249961181529</v>
      </c>
      <c r="Q41">
        <f>Q17*1000-Q16*IF(Q16&lt;0,$W$33,$W$30)+$W$23*$W$24*$AA$6</f>
        <v>94405.249961181529</v>
      </c>
      <c r="R41">
        <f>R17*1000-R16*IF(R16&lt;0,$W$33,$W$30)+$W$23*$W$24*$AA$6</f>
        <v>93066.610961181534</v>
      </c>
      <c r="S41">
        <f>AVERAGE(P41:R41)</f>
        <v>93625.703627848197</v>
      </c>
      <c r="T41">
        <f>_xlfn.STDEV.S(P41:R41)</f>
        <v>696.01613303164959</v>
      </c>
    </row>
    <row r="42" spans="1:23">
      <c r="A42" t="s">
        <v>163</v>
      </c>
      <c r="B42">
        <f>B23*1000-B22*IF(B22&lt;0,$W$33,$W$30)+$AA$6*$W$23*$W$24</f>
        <v>28798.699961181526</v>
      </c>
      <c r="C42">
        <f t="shared" ref="C42:D42" si="64">C23*1000-C22*IF(C22&lt;0,$W$33,$W$30)+$AA$6*$W$23*$W$24</f>
        <v>29798.699961181526</v>
      </c>
      <c r="D42">
        <f t="shared" si="64"/>
        <v>29798.699961181526</v>
      </c>
      <c r="E42">
        <f>AVERAGE(B42:D42)</f>
        <v>29465.366627848194</v>
      </c>
      <c r="F42">
        <f>_xlfn.STDEV.S(B42:D42)</f>
        <v>577.35026918962581</v>
      </c>
      <c r="G42" s="6"/>
      <c r="H42" t="s">
        <v>163</v>
      </c>
      <c r="I42">
        <f>I23*1000-I22*IF(I22&lt;0,$W$33,$W$30)+$AA$6*$W$23*$W$24</f>
        <v>61246.079961181524</v>
      </c>
      <c r="J42">
        <f t="shared" ref="J42:K42" si="65">J23*1000-J22*IF(J22&lt;0,$W$33,$W$30)+$AA$6*$W$23*$W$24</f>
        <v>61246.079961181524</v>
      </c>
      <c r="K42">
        <f t="shared" si="65"/>
        <v>61246.079961181524</v>
      </c>
      <c r="L42">
        <f>AVERAGE(I42:K42)</f>
        <v>61246.079961181524</v>
      </c>
      <c r="M42">
        <f>_xlfn.STDEV.S(I42:K42)</f>
        <v>0</v>
      </c>
      <c r="N42" s="6"/>
      <c r="O42" t="s">
        <v>163</v>
      </c>
      <c r="P42">
        <f>P23*1000-P22*IF(P22&lt;0,$W$33,$W$30)+$W$23*$W$24*$AA$6</f>
        <v>104632.46996118153</v>
      </c>
      <c r="Q42">
        <f>Q23*1000-Q22*IF(Q22&lt;0,$W$33,$W$30)+$W$23*$W$24*$AA$6</f>
        <v>102632.46996118153</v>
      </c>
      <c r="R42">
        <f>R23*1000-R22*IF(R22&lt;0,$W$33,$W$30)+$W$23*$W$24*$AA$6</f>
        <v>104632.46996118153</v>
      </c>
      <c r="S42">
        <f>AVERAGE(P42:R42)</f>
        <v>103965.80329451487</v>
      </c>
      <c r="T42">
        <f>_xlfn.STDEV.S(P42:R42)</f>
        <v>1154.7005383792514</v>
      </c>
    </row>
    <row r="43" spans="1:23">
      <c r="A43" t="s">
        <v>164</v>
      </c>
      <c r="B43">
        <f>B29*1000-B28*IF(B28&lt;0,$W$33,$W$30)+$AA$6*$W$23*$W$24</f>
        <v>33109.223961181524</v>
      </c>
      <c r="C43">
        <f t="shared" ref="C43:D43" si="66">C29*1000-C28*IF(C28&lt;0,$W$33,$W$30)+$AA$6*$W$23*$W$24</f>
        <v>33109.223961181524</v>
      </c>
      <c r="D43">
        <f t="shared" si="66"/>
        <v>32419.747961181529</v>
      </c>
      <c r="E43">
        <f>AVERAGE(B43:D43)</f>
        <v>32879.39862784819</v>
      </c>
      <c r="F43">
        <f>_xlfn.STDEV.S(B43:D43)</f>
        <v>398.06915419978361</v>
      </c>
      <c r="G43" s="6"/>
      <c r="H43" t="s">
        <v>164</v>
      </c>
      <c r="I43">
        <f>I29*1000-I28*IF(I28&lt;0,$W$33,$W$30)+$AA$6*$W$23*$W$24</f>
        <v>67798.699961181526</v>
      </c>
      <c r="J43">
        <f t="shared" ref="J43:K43" si="67">J29*1000-J28*IF(J28&lt;0,$W$33,$W$30)+$AA$6*$W$23*$W$24</f>
        <v>68798.699961181526</v>
      </c>
      <c r="K43">
        <f t="shared" si="67"/>
        <v>67798.699961181526</v>
      </c>
      <c r="L43">
        <f>AVERAGE(I43:K43)</f>
        <v>68132.033294514855</v>
      </c>
      <c r="M43">
        <f>_xlfn.STDEV.S(I43:K43)</f>
        <v>577.35026918962569</v>
      </c>
      <c r="N43" s="6"/>
      <c r="O43" t="s">
        <v>164</v>
      </c>
      <c r="P43">
        <f>P29*1000-P28*IF(P28&lt;0,$W$33,$W$30)+$W$23*$W$24*$AA$6</f>
        <v>119246.07996118153</v>
      </c>
      <c r="Q43">
        <f>Q29*1000-Q28*IF(Q28&lt;0,$W$33,$W$30)+$W$23*$W$24*$AA$6</f>
        <v>117556.60396118154</v>
      </c>
      <c r="R43">
        <f>R29*1000-R28*IF(R28&lt;0,$W$33,$W$30)+$W$23*$W$24*$AA$6</f>
        <v>119556.60396118154</v>
      </c>
      <c r="S43">
        <f>AVERAGE(P43:R43)</f>
        <v>118786.42929451486</v>
      </c>
      <c r="T43">
        <f>_xlfn.STDEV.S(P43:R43)</f>
        <v>1076.3173563244864</v>
      </c>
    </row>
    <row r="44" spans="1:23">
      <c r="G44" s="6"/>
      <c r="N44" s="6"/>
    </row>
    <row r="45" spans="1:23">
      <c r="A45" s="16" t="s">
        <v>165</v>
      </c>
      <c r="B45" s="16">
        <f>B7*B6*SQRT(3)*0.75</f>
        <v>354.11778760745688</v>
      </c>
      <c r="C45" s="16">
        <f>C7*C6*SQRT(3)*0.75</f>
        <v>350.3505771009946</v>
      </c>
      <c r="D45" s="16">
        <f>D7*D6*SQRT(3)*0.75</f>
        <v>350.3505771009946</v>
      </c>
      <c r="E45" s="16">
        <f t="shared" ref="E45:E54" si="68">AVERAGE(B45:D45)</f>
        <v>351.60631393648197</v>
      </c>
      <c r="F45" s="16">
        <f t="shared" ref="F45:F54" si="69">_xlfn.STDEV.S(B45:D45)</f>
        <v>2.1749999999999821</v>
      </c>
      <c r="G45" s="6"/>
      <c r="H45" s="16" t="s">
        <v>165</v>
      </c>
      <c r="I45" s="16">
        <f>I7*I6*SQRT(3)*0.75</f>
        <v>748.50575649089012</v>
      </c>
      <c r="J45" s="16">
        <f>J7*J6*SQRT(3)*0.75</f>
        <v>742.91989263648065</v>
      </c>
      <c r="K45" s="16">
        <f>K7*K6*SQRT(3)*0.75</f>
        <v>742.91989263648065</v>
      </c>
      <c r="L45" s="16">
        <f t="shared" ref="L45:L54" si="70">AVERAGE(I45:K45)</f>
        <v>744.78184725461722</v>
      </c>
      <c r="M45" s="16">
        <f t="shared" ref="M45:M54" si="71">_xlfn.STDEV.S(I45:K45)</f>
        <v>3.2249999999999064</v>
      </c>
      <c r="N45" s="6"/>
      <c r="O45" s="16" t="s">
        <v>165</v>
      </c>
      <c r="P45" s="16">
        <f>P7*P6*SQRT(3)*0.75</f>
        <v>1387.3726968626706</v>
      </c>
      <c r="Q45" s="16">
        <f>Q7*Q6*SQRT(3)*0.75</f>
        <v>1387.3726968626706</v>
      </c>
      <c r="R45" s="16">
        <f>R7*R6*SQRT(3)*0.75</f>
        <v>1410.4955751437151</v>
      </c>
      <c r="S45" s="16">
        <f t="shared" ref="S45:S54" si="72">AVERAGE(P45:R45)</f>
        <v>1395.0803229563523</v>
      </c>
      <c r="T45" s="16">
        <f t="shared" ref="T45:T54" si="73">_xlfn.STDEV.S(P45:R45)</f>
        <v>13.349999999999964</v>
      </c>
    </row>
    <row r="46" spans="1:23">
      <c r="A46" s="16" t="s">
        <v>166</v>
      </c>
      <c r="B46" s="16">
        <f>B33*B39</f>
        <v>56.464672544136519</v>
      </c>
      <c r="C46" s="16">
        <f>C33*C39</f>
        <v>58.343355714477994</v>
      </c>
      <c r="D46" s="16">
        <f>D33*D39</f>
        <v>55.250322224214607</v>
      </c>
      <c r="E46" s="16">
        <f t="shared" si="68"/>
        <v>56.686116827609709</v>
      </c>
      <c r="F46" s="16">
        <f t="shared" si="69"/>
        <v>1.5583620314243232</v>
      </c>
      <c r="G46" s="6"/>
      <c r="H46" s="16" t="s">
        <v>166</v>
      </c>
      <c r="I46" s="16">
        <f>I33*I39</f>
        <v>184.75776618386163</v>
      </c>
      <c r="J46" s="16">
        <f>J33*J39</f>
        <v>184.3944166299483</v>
      </c>
      <c r="K46" s="16">
        <f>K33*K39</f>
        <v>185.12111573777503</v>
      </c>
      <c r="L46" s="16">
        <f t="shared" si="70"/>
        <v>184.75776618386166</v>
      </c>
      <c r="M46" s="16">
        <f t="shared" si="71"/>
        <v>0.36334955391336621</v>
      </c>
      <c r="N46" s="6"/>
      <c r="O46" s="16" t="s">
        <v>166</v>
      </c>
      <c r="P46" s="16">
        <f>P33*P39</f>
        <v>398.57711424004015</v>
      </c>
      <c r="Q46" s="16">
        <f>Q33*Q39</f>
        <v>397.92448232546826</v>
      </c>
      <c r="R46" s="16">
        <f>R33*R39</f>
        <v>401.50144247416688</v>
      </c>
      <c r="S46" s="16">
        <f t="shared" si="72"/>
        <v>399.33434634655845</v>
      </c>
      <c r="T46" s="16">
        <f t="shared" si="73"/>
        <v>1.9049176684836266</v>
      </c>
    </row>
    <row r="47" spans="1:23">
      <c r="A47" s="16" t="s">
        <v>167</v>
      </c>
      <c r="B47" s="16">
        <f>B13*B12*SQRT(3)*0.75</f>
        <v>350.3505771009946</v>
      </c>
      <c r="C47" s="16">
        <f>C13*C12*SQRT(3)*0.75</f>
        <v>350.3505771009946</v>
      </c>
      <c r="D47" s="16">
        <f>D13*D12*SQRT(3)*0.75</f>
        <v>350.3505771009946</v>
      </c>
      <c r="E47" s="16">
        <f t="shared" si="68"/>
        <v>350.3505771009946</v>
      </c>
      <c r="F47" s="16">
        <f t="shared" si="69"/>
        <v>0</v>
      </c>
      <c r="G47" s="6"/>
      <c r="H47" s="16" t="s">
        <v>167</v>
      </c>
      <c r="I47" s="16">
        <f>I13*I12*SQRT(3)*0.75</f>
        <v>725.64268583098112</v>
      </c>
      <c r="J47" s="16">
        <f>J13*J12*SQRT(3)*0.75</f>
        <v>725.64268583098112</v>
      </c>
      <c r="K47" s="16">
        <f>K13*K12*SQRT(3)*0.75</f>
        <v>708.36547902548148</v>
      </c>
      <c r="L47" s="16">
        <f t="shared" si="70"/>
        <v>719.88361689581461</v>
      </c>
      <c r="M47" s="16">
        <f t="shared" si="71"/>
        <v>9.9750000000000547</v>
      </c>
      <c r="N47" s="6"/>
      <c r="O47" s="16" t="s">
        <v>167</v>
      </c>
      <c r="P47" s="16">
        <f>P13*P12*SQRT(3)*0.75</f>
        <v>1341.1269403005815</v>
      </c>
      <c r="Q47" s="16">
        <f>Q13*Q12*SQRT(3)*0.75</f>
        <v>1341.1269403005815</v>
      </c>
      <c r="R47" s="16">
        <f>R13*R12*SQRT(3)*0.75</f>
        <v>1341.1269403005815</v>
      </c>
      <c r="S47" s="16">
        <f t="shared" si="72"/>
        <v>1341.1269403005815</v>
      </c>
      <c r="T47" s="16">
        <f t="shared" si="73"/>
        <v>0</v>
      </c>
    </row>
    <row r="48" spans="1:23">
      <c r="A48" s="16" t="s">
        <v>168</v>
      </c>
      <c r="B48" s="16">
        <f>B34*B40</f>
        <v>59.704806732234289</v>
      </c>
      <c r="C48" s="16">
        <f>C34*C40</f>
        <v>60.15458601449771</v>
      </c>
      <c r="D48" s="16">
        <f>D34*D40</f>
        <v>59.929696373365999</v>
      </c>
      <c r="E48" s="16">
        <f t="shared" si="68"/>
        <v>59.929696373365999</v>
      </c>
      <c r="F48" s="16">
        <f t="shared" si="69"/>
        <v>0.2248896411317105</v>
      </c>
      <c r="G48" s="6"/>
      <c r="H48" s="16" t="s">
        <v>168</v>
      </c>
      <c r="I48" s="16">
        <f>I34*I40</f>
        <v>178.73238580043088</v>
      </c>
      <c r="J48" s="16">
        <f>J34*J40</f>
        <v>177.43873881586325</v>
      </c>
      <c r="K48" s="16">
        <f>K34*K40</f>
        <v>179.59481712347596</v>
      </c>
      <c r="L48" s="16">
        <f t="shared" si="70"/>
        <v>178.58864724659006</v>
      </c>
      <c r="M48" s="16">
        <f t="shared" si="71"/>
        <v>1.0852022834636512</v>
      </c>
      <c r="N48" s="6"/>
      <c r="O48" s="16" t="s">
        <v>168</v>
      </c>
      <c r="P48" s="16">
        <f>P34*P40</f>
        <v>409.56906944975691</v>
      </c>
      <c r="Q48" s="16">
        <f>Q34*Q40</f>
        <v>405.4788543615569</v>
      </c>
      <c r="R48" s="16">
        <f>R34*R40</f>
        <v>411.93063147231811</v>
      </c>
      <c r="S48" s="16">
        <f t="shared" si="72"/>
        <v>408.99285176121066</v>
      </c>
      <c r="T48" s="16">
        <f t="shared" si="73"/>
        <v>3.2642575097839295</v>
      </c>
    </row>
    <row r="49" spans="1:20">
      <c r="A49" s="16" t="s">
        <v>169</v>
      </c>
      <c r="B49" s="16">
        <f>B19*B18*SQRT(3)*0.75</f>
        <v>345.54413610999103</v>
      </c>
      <c r="C49" s="16">
        <f>C19*C18*SQRT(3)*0.75</f>
        <v>345.54413610999103</v>
      </c>
      <c r="D49" s="16">
        <f>D19*D18*SQRT(3)*0.75</f>
        <v>345.54413610999103</v>
      </c>
      <c r="E49" s="16">
        <f t="shared" si="68"/>
        <v>345.54413610999103</v>
      </c>
      <c r="F49" s="16">
        <f t="shared" si="69"/>
        <v>0</v>
      </c>
      <c r="G49" s="6"/>
      <c r="H49" s="16" t="s">
        <v>169</v>
      </c>
      <c r="I49" s="16">
        <f>I19*I18*SQRT(3)*0.75</f>
        <v>704.98797995072209</v>
      </c>
      <c r="J49" s="16">
        <f>J19*J18*SQRT(3)*0.75</f>
        <v>704.98797995072209</v>
      </c>
      <c r="K49" s="16">
        <f>K19*K18*SQRT(3)*0.75</f>
        <v>704.98797995072209</v>
      </c>
      <c r="L49" s="16">
        <f t="shared" si="70"/>
        <v>704.98797995072209</v>
      </c>
      <c r="M49" s="16">
        <f t="shared" si="71"/>
        <v>0</v>
      </c>
      <c r="N49" s="6"/>
      <c r="O49" s="16" t="s">
        <v>169</v>
      </c>
      <c r="P49" s="16">
        <f>P19*P18*SQRT(3)*0.75</f>
        <v>1294.8811837384926</v>
      </c>
      <c r="Q49" s="16">
        <f>Q19*Q18*SQRT(3)*0.75</f>
        <v>1294.8811837384926</v>
      </c>
      <c r="R49" s="16">
        <f>R19*R18*SQRT(3)*0.75</f>
        <v>1294.8811837384926</v>
      </c>
      <c r="S49" s="16">
        <f t="shared" si="72"/>
        <v>1294.8811837384926</v>
      </c>
      <c r="T49" s="16">
        <f t="shared" si="73"/>
        <v>0</v>
      </c>
    </row>
    <row r="50" spans="1:20">
      <c r="A50" s="16" t="s">
        <v>170</v>
      </c>
      <c r="B50" s="16">
        <f>B35*B41</f>
        <v>51.249923458753187</v>
      </c>
      <c r="C50" s="16">
        <f>C35*C41</f>
        <v>49.900085349550494</v>
      </c>
      <c r="D50" s="16">
        <f>D35*D41</f>
        <v>49.900085349550494</v>
      </c>
      <c r="E50" s="16">
        <f t="shared" si="68"/>
        <v>50.350031385951389</v>
      </c>
      <c r="F50" s="16">
        <f t="shared" si="69"/>
        <v>0.77932939571059046</v>
      </c>
      <c r="G50" s="6"/>
      <c r="H50" s="16" t="s">
        <v>170</v>
      </c>
      <c r="I50" s="16">
        <f>I35*I41</f>
        <v>165.73305210184844</v>
      </c>
      <c r="J50" s="16">
        <f>J35*J41</f>
        <v>167.70367636042656</v>
      </c>
      <c r="K50" s="16">
        <f>K35*K41</f>
        <v>168.16889326819276</v>
      </c>
      <c r="L50" s="16">
        <f t="shared" si="70"/>
        <v>167.20187391015591</v>
      </c>
      <c r="M50" s="16">
        <f t="shared" si="71"/>
        <v>1.2931298547468548</v>
      </c>
      <c r="N50" s="6"/>
      <c r="O50" s="16" t="s">
        <v>170</v>
      </c>
      <c r="P50" s="16">
        <f>P35*P41</f>
        <v>394.15697946524756</v>
      </c>
      <c r="Q50" s="16">
        <f>Q35*Q41</f>
        <v>394.33227959968065</v>
      </c>
      <c r="R50" s="16">
        <f>R35*R41</f>
        <v>391.93052902402303</v>
      </c>
      <c r="S50" s="16">
        <f t="shared" si="72"/>
        <v>393.47326269631708</v>
      </c>
      <c r="T50" s="16">
        <f t="shared" si="73"/>
        <v>1.338918564366584</v>
      </c>
    </row>
    <row r="51" spans="1:20">
      <c r="A51" s="16" t="s">
        <v>171</v>
      </c>
      <c r="B51" s="16">
        <f>B25*B24*SQRT(3)*0.75</f>
        <v>345.54413610999103</v>
      </c>
      <c r="C51" s="16">
        <f>C25*C24*SQRT(3)*0.75</f>
        <v>345.54413610999103</v>
      </c>
      <c r="D51" s="16">
        <f>D25*D24*SQRT(3)*0.75</f>
        <v>345.54413610999103</v>
      </c>
      <c r="E51" s="16">
        <f t="shared" si="68"/>
        <v>345.54413610999103</v>
      </c>
      <c r="F51" s="16">
        <f t="shared" si="69"/>
        <v>0</v>
      </c>
      <c r="G51" s="6"/>
      <c r="H51" s="16" t="s">
        <v>171</v>
      </c>
      <c r="I51" s="16">
        <f>I25*I24*SQRT(3)*0.75</f>
        <v>661.47020341055418</v>
      </c>
      <c r="J51" s="16">
        <f>J25*J24*SQRT(3)*0.75</f>
        <v>661.47020341055418</v>
      </c>
      <c r="K51" s="16">
        <f>K25*K24*SQRT(3)*0.75</f>
        <v>661.47020341055418</v>
      </c>
      <c r="L51" s="16">
        <f t="shared" si="70"/>
        <v>661.47020341055418</v>
      </c>
      <c r="M51" s="16">
        <f t="shared" si="71"/>
        <v>0</v>
      </c>
      <c r="N51" s="6"/>
      <c r="O51" s="16" t="s">
        <v>171</v>
      </c>
      <c r="P51" s="16">
        <f>P25*P24*SQRT(3)*0.75</f>
        <v>1185.8918866722211</v>
      </c>
      <c r="Q51" s="16">
        <f>Q25*Q24*SQRT(3)*0.75</f>
        <v>1185.8918866722211</v>
      </c>
      <c r="R51" s="16">
        <f>R25*R24*SQRT(3)*0.75</f>
        <v>1185.8918866722211</v>
      </c>
      <c r="S51" s="16">
        <f t="shared" si="72"/>
        <v>1185.8918866722211</v>
      </c>
      <c r="T51" s="16">
        <f t="shared" si="73"/>
        <v>0</v>
      </c>
    </row>
    <row r="52" spans="1:20">
      <c r="A52" s="16" t="s">
        <v>172</v>
      </c>
      <c r="B52" s="16">
        <f>B36*B42</f>
        <v>44.290015777550806</v>
      </c>
      <c r="C52" s="16">
        <f>C36*C42</f>
        <v>45.572602689738616</v>
      </c>
      <c r="D52" s="16">
        <f>D36*D42</f>
        <v>45.827932969550801</v>
      </c>
      <c r="E52" s="16">
        <f t="shared" si="68"/>
        <v>45.230183812280075</v>
      </c>
      <c r="F52" s="16">
        <f t="shared" si="69"/>
        <v>0.82415735032350657</v>
      </c>
      <c r="G52" s="6"/>
      <c r="H52" s="16" t="s">
        <v>172</v>
      </c>
      <c r="I52" s="16">
        <f>I36*I42</f>
        <v>146.14534014694644</v>
      </c>
      <c r="J52" s="16">
        <f>J36*J42</f>
        <v>147.19491470920983</v>
      </c>
      <c r="K52" s="16">
        <f>K36*K42</f>
        <v>146.67012742807816</v>
      </c>
      <c r="L52" s="16">
        <f t="shared" si="70"/>
        <v>146.67012742807813</v>
      </c>
      <c r="M52" s="16">
        <f t="shared" si="71"/>
        <v>0.52478728113169382</v>
      </c>
      <c r="N52" s="6"/>
      <c r="O52" s="16" t="s">
        <v>172</v>
      </c>
      <c r="P52" s="16">
        <f>P36*P42</f>
        <v>340.2248218731774</v>
      </c>
      <c r="Q52" s="16">
        <f>Q36*Q42</f>
        <v>333.72158588917739</v>
      </c>
      <c r="R52" s="16">
        <f>R36*R42</f>
        <v>339.32827813578524</v>
      </c>
      <c r="S52" s="16">
        <f t="shared" si="72"/>
        <v>337.75822863271333</v>
      </c>
      <c r="T52" s="16">
        <f t="shared" si="73"/>
        <v>3.5244589864928755</v>
      </c>
    </row>
    <row r="53" spans="1:20">
      <c r="A53" s="16" t="s">
        <v>173</v>
      </c>
      <c r="B53" s="16">
        <f>B31*B30*SQRT(3)*0.75</f>
        <v>339.37370510802685</v>
      </c>
      <c r="C53" s="16">
        <f>C31*C30*SQRT(3)*0.75</f>
        <v>339.37370510802685</v>
      </c>
      <c r="D53" s="16">
        <f>D31*D30*SQRT(3)*0.75</f>
        <v>339.37370510802685</v>
      </c>
      <c r="E53" s="16">
        <f t="shared" si="68"/>
        <v>339.37370510802685</v>
      </c>
      <c r="F53" s="16">
        <f t="shared" si="69"/>
        <v>0</v>
      </c>
      <c r="G53" s="6"/>
      <c r="H53" s="16" t="s">
        <v>173</v>
      </c>
      <c r="I53" s="16">
        <f>I31*I30*SQRT(3)*0.75</f>
        <v>631.33251935885573</v>
      </c>
      <c r="J53" s="16">
        <f>J31*J30*SQRT(3)*0.75</f>
        <v>631.33251935885573</v>
      </c>
      <c r="K53" s="16">
        <f>K31*K30*SQRT(3)*0.75</f>
        <v>631.33251935885573</v>
      </c>
      <c r="L53" s="16">
        <f t="shared" si="70"/>
        <v>631.33251935885573</v>
      </c>
      <c r="M53" s="16">
        <f t="shared" si="71"/>
        <v>0</v>
      </c>
      <c r="N53" s="6"/>
      <c r="O53" s="16" t="s">
        <v>173</v>
      </c>
      <c r="P53" s="16">
        <f>P31*P30*SQRT(3)*0.75</f>
        <v>1116.1335403973844</v>
      </c>
      <c r="Q53" s="16">
        <f>Q31*Q30*SQRT(3)*0.75</f>
        <v>1116.1335403973844</v>
      </c>
      <c r="R53" s="16">
        <f>R31*R30*SQRT(3)*0.75</f>
        <v>1116.1335403973844</v>
      </c>
      <c r="S53" s="16">
        <f t="shared" si="72"/>
        <v>1116.1335403973844</v>
      </c>
      <c r="T53" s="16">
        <f t="shared" si="73"/>
        <v>0</v>
      </c>
    </row>
    <row r="54" spans="1:20">
      <c r="A54" s="16" t="s">
        <v>174</v>
      </c>
      <c r="B54" s="16">
        <f>B37*B43</f>
        <v>32.762667594989509</v>
      </c>
      <c r="C54" s="16">
        <f>C37*C43</f>
        <v>33.613757148834345</v>
      </c>
      <c r="D54" s="16">
        <f>D37*D43</f>
        <v>32.635985864576725</v>
      </c>
      <c r="E54" s="16">
        <f t="shared" si="68"/>
        <v>33.004136869466862</v>
      </c>
      <c r="F54" s="16">
        <f t="shared" si="69"/>
        <v>0.53173276085564158</v>
      </c>
      <c r="G54" s="6"/>
      <c r="H54" s="16" t="s">
        <v>174</v>
      </c>
      <c r="I54" s="16">
        <f>I37*I43</f>
        <v>106.01158656098738</v>
      </c>
      <c r="J54" s="16">
        <f>J37*J43</f>
        <v>109.3437150724239</v>
      </c>
      <c r="K54" s="16">
        <f>K37*K43</f>
        <v>108.3353202882361</v>
      </c>
      <c r="L54" s="16">
        <f t="shared" si="70"/>
        <v>107.89687397388246</v>
      </c>
      <c r="M54" s="16">
        <f t="shared" si="71"/>
        <v>1.7087850895035812</v>
      </c>
      <c r="N54" s="6"/>
      <c r="O54" s="16" t="s">
        <v>174</v>
      </c>
      <c r="P54" s="16">
        <f>P37*P43</f>
        <v>256.95735339639049</v>
      </c>
      <c r="Q54" s="16">
        <f>Q37*Q43</f>
        <v>255.33135537885357</v>
      </c>
      <c r="R54" s="16">
        <f>R37*R43</f>
        <v>258.65090711558582</v>
      </c>
      <c r="S54" s="16">
        <f t="shared" si="72"/>
        <v>256.97987196360992</v>
      </c>
      <c r="T54" s="16">
        <f t="shared" si="73"/>
        <v>1.6598904324119528</v>
      </c>
    </row>
    <row r="55" spans="1:20">
      <c r="G55" s="6"/>
      <c r="N55" s="6"/>
    </row>
    <row r="56" spans="1:20">
      <c r="A56" t="s">
        <v>69</v>
      </c>
      <c r="B56">
        <f>B46/B45</f>
        <v>0.15945166981198972</v>
      </c>
      <c r="C56">
        <f>C46/C45</f>
        <v>0.16652849896022726</v>
      </c>
      <c r="D56">
        <f>D46/D45</f>
        <v>0.15770010336899701</v>
      </c>
      <c r="E56">
        <f>AVERAGE(B56:D56)</f>
        <v>0.16122675738040468</v>
      </c>
      <c r="F56">
        <f>_xlfn.STDEV.S(B56:D56)</f>
        <v>4.6742212276987254E-3</v>
      </c>
      <c r="G56" s="6"/>
      <c r="H56" t="s">
        <v>69</v>
      </c>
      <c r="I56">
        <f>I46/I45</f>
        <v>0.24683546463294337</v>
      </c>
      <c r="J56">
        <f>J46/J45</f>
        <v>0.24820228729583182</v>
      </c>
      <c r="K56">
        <f>K46/K45</f>
        <v>0.24918045346829465</v>
      </c>
      <c r="L56">
        <f>AVERAGE(I56:K56)</f>
        <v>0.24807273513235661</v>
      </c>
      <c r="M56">
        <f>_xlfn.STDEV.S(I56:K56)</f>
        <v>1.177850152513625E-3</v>
      </c>
      <c r="N56" s="6"/>
      <c r="O56" t="s">
        <v>69</v>
      </c>
      <c r="P56">
        <f>P46/P45</f>
        <v>0.28728914381936504</v>
      </c>
      <c r="Q56">
        <f>Q46/Q45</f>
        <v>0.28681873531554508</v>
      </c>
      <c r="R56">
        <f>R46/R45</f>
        <v>0.28465274868604817</v>
      </c>
      <c r="S56">
        <f>AVERAGE(P56:R56)</f>
        <v>0.2862535426069861</v>
      </c>
      <c r="T56">
        <f>_xlfn.STDEV.S(P56:R56)</f>
        <v>1.4061390127225683E-3</v>
      </c>
    </row>
    <row r="57" spans="1:20">
      <c r="A57" t="s">
        <v>70</v>
      </c>
      <c r="B57">
        <f>B48/B47</f>
        <v>0.17041446663586726</v>
      </c>
      <c r="C57">
        <f>C48/C47</f>
        <v>0.17169826438492525</v>
      </c>
      <c r="D57">
        <f>D48/D47</f>
        <v>0.17105636551039627</v>
      </c>
      <c r="E57">
        <f>AVERAGE(B57:D57)</f>
        <v>0.17105636551039627</v>
      </c>
      <c r="F57">
        <f>_xlfn.STDEV.S(B57:D57)</f>
        <v>6.4189887452899275E-4</v>
      </c>
      <c r="G57" s="6"/>
      <c r="H57" t="s">
        <v>70</v>
      </c>
      <c r="I57">
        <f>I48/I47</f>
        <v>0.24630908474706484</v>
      </c>
      <c r="J57">
        <f>J48/J47</f>
        <v>0.24452632443013808</v>
      </c>
      <c r="K57">
        <f>K48/K47</f>
        <v>0.25353411825001643</v>
      </c>
      <c r="L57">
        <f>AVERAGE(I57:K57)</f>
        <v>0.24812317580907309</v>
      </c>
      <c r="M57">
        <f>_xlfn.STDEV.S(I57:K57)</f>
        <v>4.7700400586686243E-3</v>
      </c>
      <c r="N57" s="6"/>
      <c r="O57" t="s">
        <v>70</v>
      </c>
      <c r="P57">
        <f>P48/P47</f>
        <v>0.30539172478181803</v>
      </c>
      <c r="Q57">
        <f>Q48/Q47</f>
        <v>0.30234189037368714</v>
      </c>
      <c r="R57">
        <f>R48/R47</f>
        <v>0.30715260360066565</v>
      </c>
      <c r="S57">
        <f>AVERAGE(P57:R57)</f>
        <v>0.30496207291872363</v>
      </c>
      <c r="T57">
        <f>_xlfn.STDEV.S(P57:R57)</f>
        <v>2.4339661009660524E-3</v>
      </c>
    </row>
    <row r="58" spans="1:20">
      <c r="A58" t="s">
        <v>71</v>
      </c>
      <c r="B58">
        <f>B50/B49</f>
        <v>0.14831657696671111</v>
      </c>
      <c r="C58">
        <f>C50/C49</f>
        <v>0.14441016395563047</v>
      </c>
      <c r="D58">
        <f>D50/D49</f>
        <v>0.14441016395563047</v>
      </c>
      <c r="E58">
        <f>AVERAGE(B58:D58)</f>
        <v>0.14571230162599069</v>
      </c>
      <c r="F58">
        <f>_xlfn.STDEV.S(B58:D58)</f>
        <v>2.2553686035132604E-3</v>
      </c>
      <c r="G58" s="6"/>
      <c r="H58" t="s">
        <v>71</v>
      </c>
      <c r="I58">
        <f>I50/I49</f>
        <v>0.23508635156223942</v>
      </c>
      <c r="J58">
        <f>J50/J49</f>
        <v>0.23788161093491106</v>
      </c>
      <c r="K58">
        <f>K50/K49</f>
        <v>0.23854150432458096</v>
      </c>
      <c r="L58">
        <f>AVERAGE(I58:K58)</f>
        <v>0.23716982227391048</v>
      </c>
      <c r="M58">
        <f>_xlfn.STDEV.S(I58:K58)</f>
        <v>1.8342580178987472E-3</v>
      </c>
      <c r="N58" s="6"/>
      <c r="O58" t="s">
        <v>71</v>
      </c>
      <c r="P58">
        <f>P50/P49</f>
        <v>0.30439625227023875</v>
      </c>
      <c r="Q58">
        <f>Q50/Q49</f>
        <v>0.3045316315904687</v>
      </c>
      <c r="R58">
        <f>R50/R49</f>
        <v>0.30267682776304461</v>
      </c>
      <c r="S58">
        <f>AVERAGE(P58:R58)</f>
        <v>0.30386823720791739</v>
      </c>
      <c r="T58">
        <f>_xlfn.STDEV.S(P58:R58)</f>
        <v>1.0340088196362095E-3</v>
      </c>
    </row>
    <row r="59" spans="1:20">
      <c r="A59" t="s">
        <v>72</v>
      </c>
      <c r="B59">
        <f>B52/B51</f>
        <v>0.1281746994064247</v>
      </c>
      <c r="C59">
        <f>C52/C51</f>
        <v>0.13188648837389699</v>
      </c>
      <c r="D59">
        <f>D52/D51</f>
        <v>0.132625410708643</v>
      </c>
      <c r="E59">
        <f>AVERAGE(B59:D59)</f>
        <v>0.13089553282965491</v>
      </c>
      <c r="F59">
        <f>_xlfn.STDEV.S(B59:D59)</f>
        <v>2.3851000905457907E-3</v>
      </c>
      <c r="G59" s="6"/>
      <c r="H59" t="s">
        <v>72</v>
      </c>
      <c r="I59">
        <f>I52/I51</f>
        <v>0.22094017144448536</v>
      </c>
      <c r="J59">
        <f>J52/J51</f>
        <v>0.22252690136346245</v>
      </c>
      <c r="K59">
        <f>K52/K51</f>
        <v>0.22173353640397395</v>
      </c>
      <c r="L59">
        <f>AVERAGE(I59:K59)</f>
        <v>0.22173353640397395</v>
      </c>
      <c r="M59">
        <f>_xlfn.STDEV.S(I59:K59)</f>
        <v>7.933649594885489E-4</v>
      </c>
      <c r="N59" s="6"/>
      <c r="O59" t="s">
        <v>72</v>
      </c>
      <c r="P59">
        <f>P52/P51</f>
        <v>0.28689362470291957</v>
      </c>
      <c r="Q59">
        <f>Q52/Q51</f>
        <v>0.281409789239428</v>
      </c>
      <c r="R59">
        <f>R52/R51</f>
        <v>0.28613761671646815</v>
      </c>
      <c r="S59">
        <f>AVERAGE(P59:R59)</f>
        <v>0.2848136768862719</v>
      </c>
      <c r="T59">
        <f>_xlfn.STDEV.S(P59:R59)</f>
        <v>2.9719901334201953E-3</v>
      </c>
    </row>
    <row r="60" spans="1:20">
      <c r="A60" t="s">
        <v>73</v>
      </c>
      <c r="B60">
        <f>B54/B53</f>
        <v>9.6538615402041075E-2</v>
      </c>
      <c r="C60">
        <f>C54/C53</f>
        <v>9.9046439493992819E-2</v>
      </c>
      <c r="D60">
        <f>D54/D53</f>
        <v>9.616533447748489E-2</v>
      </c>
      <c r="E60">
        <f>AVERAGE(B60:D60)</f>
        <v>9.7250129791172923E-2</v>
      </c>
      <c r="F60">
        <f>_xlfn.STDEV.S(B60:D60)</f>
        <v>1.5668060101662372E-3</v>
      </c>
      <c r="G60" s="6"/>
      <c r="H60" t="s">
        <v>73</v>
      </c>
      <c r="I60">
        <f>I54/I53</f>
        <v>0.16791719626393795</v>
      </c>
      <c r="J60">
        <f>J54/J53</f>
        <v>0.17319512573733248</v>
      </c>
      <c r="K60">
        <f>K54/K53</f>
        <v>0.1715978774517351</v>
      </c>
      <c r="L60">
        <f>AVERAGE(I60:K60)</f>
        <v>0.17090339981766847</v>
      </c>
      <c r="M60">
        <f>_xlfn.STDEV.S(I60:K60)</f>
        <v>2.7066324592924921E-3</v>
      </c>
      <c r="N60" s="6"/>
      <c r="O60" t="s">
        <v>73</v>
      </c>
      <c r="P60">
        <f>P54/P53</f>
        <v>0.23022097634025429</v>
      </c>
      <c r="Q60">
        <f>Q54/Q53</f>
        <v>0.22876416319139217</v>
      </c>
      <c r="R60">
        <f>R54/R53</f>
        <v>0.23173831602936745</v>
      </c>
      <c r="S60">
        <f>AVERAGE(P60:R60)</f>
        <v>0.23024115185367131</v>
      </c>
      <c r="T60">
        <f>_xlfn.STDEV.S(P60:R60)</f>
        <v>1.4871790626603554E-3</v>
      </c>
    </row>
    <row r="64" spans="1:20" ht="16.5" thickBot="1">
      <c r="A64" t="s">
        <v>175</v>
      </c>
      <c r="Q64" s="2" t="s">
        <v>176</v>
      </c>
      <c r="S64" s="2" t="s">
        <v>177</v>
      </c>
    </row>
    <row r="65" spans="1:19">
      <c r="A65">
        <f>0.4536/1000</f>
        <v>4.5360000000000002E-4</v>
      </c>
      <c r="Q65" s="17">
        <v>2.7546447600000005E-3</v>
      </c>
      <c r="R65" s="24">
        <v>0.16122675738040501</v>
      </c>
      <c r="S65" s="18">
        <f t="shared" ref="S65:S79" si="74">R65*100</f>
        <v>16.122675738040503</v>
      </c>
    </row>
    <row r="66" spans="1:19">
      <c r="Q66" s="19">
        <v>2.2833770400000003E-3</v>
      </c>
      <c r="R66">
        <v>0.17105636551039627</v>
      </c>
      <c r="S66" s="20">
        <f t="shared" si="74"/>
        <v>17.105636551039627</v>
      </c>
    </row>
    <row r="67" spans="1:19">
      <c r="B67" t="s">
        <v>178</v>
      </c>
      <c r="Q67" s="19">
        <v>1.9577738880000002E-3</v>
      </c>
      <c r="R67">
        <v>0.14571230162599069</v>
      </c>
      <c r="S67" s="20">
        <f t="shared" si="74"/>
        <v>14.571230162599068</v>
      </c>
    </row>
    <row r="68" spans="1:19">
      <c r="A68" t="s">
        <v>154</v>
      </c>
      <c r="B68">
        <v>3386.38</v>
      </c>
      <c r="Q68" s="19">
        <v>1.535061024E-3</v>
      </c>
      <c r="R68">
        <v>0.13089553282965491</v>
      </c>
      <c r="S68" s="20">
        <f t="shared" si="74"/>
        <v>13.089553282965491</v>
      </c>
    </row>
    <row r="69" spans="1:19" ht="16.5" thickBot="1">
      <c r="A69" t="s">
        <v>179</v>
      </c>
      <c r="B69">
        <v>1000</v>
      </c>
      <c r="Q69" s="19">
        <v>1.003813776E-3</v>
      </c>
      <c r="R69">
        <v>9.7250129791172923E-2</v>
      </c>
      <c r="S69" s="20">
        <f t="shared" si="74"/>
        <v>9.7250129791172917</v>
      </c>
    </row>
    <row r="70" spans="1:19">
      <c r="A70" t="s">
        <v>180</v>
      </c>
      <c r="B70">
        <v>6894.76</v>
      </c>
      <c r="Q70" s="17">
        <v>4.356955008E-3</v>
      </c>
      <c r="R70" s="24">
        <v>0.24807273513235661</v>
      </c>
      <c r="S70" s="18">
        <f t="shared" si="74"/>
        <v>24.807273513235661</v>
      </c>
    </row>
    <row r="71" spans="1:19">
      <c r="Q71" s="19">
        <v>3.5486594640000008E-3</v>
      </c>
      <c r="R71">
        <v>0.24812317580907309</v>
      </c>
      <c r="S71" s="20">
        <f t="shared" si="74"/>
        <v>24.812317580907308</v>
      </c>
    </row>
    <row r="72" spans="1:19">
      <c r="Q72" s="19">
        <v>3.0859602479999999E-3</v>
      </c>
      <c r="R72">
        <v>0.23716982227391048</v>
      </c>
      <c r="S72" s="20">
        <f t="shared" si="74"/>
        <v>23.71698222739105</v>
      </c>
    </row>
    <row r="73" spans="1:19">
      <c r="Q73" s="19">
        <v>2.3947675920000001E-3</v>
      </c>
      <c r="R73">
        <v>0.22173353640397395</v>
      </c>
      <c r="S73" s="20">
        <f t="shared" si="74"/>
        <v>22.173353640397394</v>
      </c>
    </row>
    <row r="74" spans="1:19" ht="16.5" thickBot="1">
      <c r="Q74" s="19">
        <v>1.5836158800000002E-3</v>
      </c>
      <c r="R74">
        <v>0.17090339981766847</v>
      </c>
      <c r="S74" s="20">
        <f t="shared" si="74"/>
        <v>17.090339981766846</v>
      </c>
    </row>
    <row r="75" spans="1:19">
      <c r="Q75" s="17">
        <v>5.8792925519999999E-3</v>
      </c>
      <c r="R75" s="24">
        <v>0.2862535426069861</v>
      </c>
      <c r="S75" s="18">
        <f t="shared" si="74"/>
        <v>28.625354260698611</v>
      </c>
    </row>
    <row r="76" spans="1:19">
      <c r="Q76" s="19">
        <v>4.8167980560000004E-3</v>
      </c>
      <c r="R76">
        <v>0.30496207291872363</v>
      </c>
      <c r="S76" s="20">
        <f t="shared" si="74"/>
        <v>30.496207291872363</v>
      </c>
    </row>
    <row r="77" spans="1:19">
      <c r="Q77" s="19">
        <v>4.2027219360000001E-3</v>
      </c>
      <c r="R77">
        <v>0.30386823720791739</v>
      </c>
      <c r="S77" s="20">
        <f t="shared" si="74"/>
        <v>30.386823720791739</v>
      </c>
    </row>
    <row r="78" spans="1:19">
      <c r="Q78" s="19">
        <v>3.2487618239999999E-3</v>
      </c>
      <c r="R78">
        <v>0.2848136768862719</v>
      </c>
      <c r="S78" s="20">
        <f t="shared" si="74"/>
        <v>28.481367688627191</v>
      </c>
    </row>
    <row r="79" spans="1:19" ht="16.5" thickBot="1">
      <c r="Q79" s="21">
        <v>2.1634179840000003E-3</v>
      </c>
      <c r="R79" s="25">
        <v>0.23024115185367131</v>
      </c>
      <c r="S79" s="22">
        <f t="shared" si="74"/>
        <v>23.02411518536713</v>
      </c>
    </row>
    <row r="81" spans="1:2">
      <c r="A81" s="2" t="s">
        <v>181</v>
      </c>
    </row>
    <row r="82" spans="1:2">
      <c r="A82" s="2"/>
      <c r="B82" t="s">
        <v>182</v>
      </c>
    </row>
    <row r="83" spans="1:2">
      <c r="A83" t="s">
        <v>108</v>
      </c>
      <c r="B83">
        <f>3</f>
        <v>3</v>
      </c>
    </row>
    <row r="84" spans="1:2">
      <c r="A84" t="s">
        <v>112</v>
      </c>
      <c r="B84">
        <v>0.5</v>
      </c>
    </row>
    <row r="85" spans="1:2">
      <c r="A85" t="s">
        <v>116</v>
      </c>
      <c r="B85">
        <v>0.5</v>
      </c>
    </row>
    <row r="86" spans="1:2">
      <c r="A86" t="s">
        <v>14</v>
      </c>
      <c r="B86">
        <v>2.5</v>
      </c>
    </row>
    <row r="87" spans="1:2">
      <c r="A87" t="s">
        <v>15</v>
      </c>
      <c r="B87">
        <v>0.1</v>
      </c>
    </row>
  </sheetData>
  <phoneticPr fontId="10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80B65-105A-4234-8A9B-1D192C3BE91A}">
  <dimension ref="A1:T15"/>
  <sheetViews>
    <sheetView zoomScale="101" zoomScaleNormal="100" workbookViewId="0">
      <selection activeCell="A46" sqref="A46"/>
    </sheetView>
  </sheetViews>
  <sheetFormatPr defaultRowHeight="15.75"/>
  <cols>
    <col min="1" max="1" width="20.5" bestFit="1" customWidth="1"/>
    <col min="2" max="2" width="11.875" bestFit="1" customWidth="1"/>
    <col min="3" max="3" width="11.375" bestFit="1" customWidth="1"/>
    <col min="4" max="4" width="11.875" bestFit="1" customWidth="1"/>
    <col min="5" max="5" width="15.5" bestFit="1" customWidth="1"/>
    <col min="6" max="8" width="19.375" bestFit="1" customWidth="1"/>
    <col min="9" max="9" width="25.625" bestFit="1" customWidth="1"/>
    <col min="10" max="10" width="11.125" customWidth="1"/>
    <col min="11" max="11" width="10.625" customWidth="1"/>
    <col min="12" max="12" width="11" customWidth="1"/>
    <col min="13" max="13" width="11.875" customWidth="1"/>
    <col min="14" max="14" width="13.25" customWidth="1"/>
    <col min="15" max="15" width="12.375" customWidth="1"/>
  </cols>
  <sheetData>
    <row r="1" spans="1:20">
      <c r="A1" s="7" t="s">
        <v>75</v>
      </c>
      <c r="B1" s="8" t="s">
        <v>76</v>
      </c>
      <c r="C1" s="8" t="s">
        <v>77</v>
      </c>
      <c r="D1" s="8" t="s">
        <v>78</v>
      </c>
      <c r="E1" s="8" t="s">
        <v>79</v>
      </c>
      <c r="F1" s="8" t="s">
        <v>80</v>
      </c>
      <c r="G1" s="8" t="s">
        <v>183</v>
      </c>
      <c r="H1" s="8" t="s">
        <v>184</v>
      </c>
      <c r="I1" s="8" t="s">
        <v>185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R1" t="s">
        <v>186</v>
      </c>
    </row>
    <row r="2" spans="1:20">
      <c r="A2" s="9"/>
      <c r="B2">
        <v>1.0704365079365079</v>
      </c>
      <c r="C2">
        <v>1.0758688203622124</v>
      </c>
      <c r="D2">
        <v>1.0531496062992125</v>
      </c>
      <c r="E2">
        <f>AVERAGE(B2:D2)</f>
        <v>1.0664849781993111</v>
      </c>
      <c r="F2">
        <f>_xlfn.STDEV.S(B2:D2)</f>
        <v>1.1863878470300819E-2</v>
      </c>
      <c r="G2">
        <v>10</v>
      </c>
      <c r="H2">
        <v>7.8</v>
      </c>
      <c r="I2">
        <f>E2*60/8.3316</f>
        <v>7.6802893432184298</v>
      </c>
      <c r="J2" t="s">
        <v>187</v>
      </c>
      <c r="K2" t="s">
        <v>187</v>
      </c>
      <c r="L2" t="s">
        <v>187</v>
      </c>
      <c r="M2" t="s">
        <v>187</v>
      </c>
      <c r="N2" t="s">
        <v>187</v>
      </c>
      <c r="O2" t="s">
        <v>187</v>
      </c>
      <c r="R2">
        <v>0</v>
      </c>
      <c r="S2">
        <v>0</v>
      </c>
    </row>
    <row r="3" spans="1:20">
      <c r="A3" s="9"/>
      <c r="B3">
        <f>27.92/20.93</f>
        <v>1.3339703774486384</v>
      </c>
      <c r="C3">
        <f>26.26/19.72</f>
        <v>1.3316430020283978</v>
      </c>
      <c r="D3">
        <f>27.24/20.06</f>
        <v>1.3579262213359919</v>
      </c>
      <c r="E3">
        <f>AVERAGE(B3:D3)</f>
        <v>1.341179866937676</v>
      </c>
      <c r="F3">
        <f t="shared" ref="F3:F6" si="0">_xlfn.STDEV.S(B3:D3)</f>
        <v>1.4549379997518118E-2</v>
      </c>
      <c r="G3">
        <v>14.1</v>
      </c>
      <c r="H3">
        <v>10</v>
      </c>
      <c r="I3">
        <f>E3*60/8.3316</f>
        <v>9.65850401078551</v>
      </c>
      <c r="J3">
        <v>20.93</v>
      </c>
      <c r="K3">
        <v>19.72</v>
      </c>
      <c r="L3">
        <v>20.059999999999999</v>
      </c>
      <c r="M3">
        <f>(($R$10/J3)^2+($S$10*B3/J3)^2)^0.5</f>
        <v>2.656448517486303E-3</v>
      </c>
      <c r="N3">
        <f t="shared" ref="N3:O7" si="1">(($R$10/K3)^2+($S$10*C3/K3)^2)^0.5</f>
        <v>2.8146857921861252E-3</v>
      </c>
      <c r="O3">
        <f t="shared" si="1"/>
        <v>2.8198362896539281E-3</v>
      </c>
      <c r="R3">
        <v>20</v>
      </c>
      <c r="S3">
        <v>20</v>
      </c>
    </row>
    <row r="4" spans="1:20">
      <c r="A4" s="9"/>
      <c r="B4">
        <f>29.1/19.91</f>
        <v>1.461577096936213</v>
      </c>
      <c r="C4">
        <f>30.3/20.59</f>
        <v>1.4715881495871783</v>
      </c>
      <c r="D4">
        <f>29.1/20.03</f>
        <v>1.4528207688467298</v>
      </c>
      <c r="E4">
        <f t="shared" ref="E4:E6" si="2">AVERAGE(B4:D4)</f>
        <v>1.461995338456707</v>
      </c>
      <c r="F4">
        <f t="shared" si="0"/>
        <v>9.3906783270080139E-3</v>
      </c>
      <c r="G4">
        <v>15.9</v>
      </c>
      <c r="H4">
        <v>11.2</v>
      </c>
      <c r="I4">
        <f t="shared" ref="I4:I7" si="3">E4*60/8.3316</f>
        <v>10.528556376614628</v>
      </c>
      <c r="J4">
        <v>19.91</v>
      </c>
      <c r="K4">
        <v>20.59</v>
      </c>
      <c r="L4">
        <v>20.03</v>
      </c>
      <c r="M4">
        <f t="shared" ref="M4:M7" si="4">(($R$10/J4)^2+($S$10*B4/J4)^2)^0.5</f>
        <v>3.0513969165448527E-3</v>
      </c>
      <c r="N4">
        <f t="shared" si="1"/>
        <v>2.970286773276896E-3</v>
      </c>
      <c r="O4">
        <f t="shared" si="1"/>
        <v>3.0154382832749639E-3</v>
      </c>
    </row>
    <row r="5" spans="1:20">
      <c r="A5" s="9"/>
      <c r="B5">
        <f>34.42/20.09</f>
        <v>1.7132901941264311</v>
      </c>
      <c r="C5">
        <f>34.3/20.13</f>
        <v>1.7039244908097366</v>
      </c>
      <c r="D5">
        <f>33.94/19.94</f>
        <v>1.7021063189568704</v>
      </c>
      <c r="E5">
        <f t="shared" si="2"/>
        <v>1.7064403346310126</v>
      </c>
      <c r="F5">
        <f t="shared" si="0"/>
        <v>6.0014055480253322E-3</v>
      </c>
      <c r="G5">
        <v>19.5</v>
      </c>
      <c r="H5">
        <v>14.7</v>
      </c>
      <c r="I5">
        <f t="shared" si="3"/>
        <v>12.288926506056551</v>
      </c>
      <c r="J5">
        <v>20.09</v>
      </c>
      <c r="K5">
        <v>20.13</v>
      </c>
      <c r="L5">
        <v>19.940000000000001</v>
      </c>
      <c r="M5">
        <f t="shared" si="4"/>
        <v>3.5317632245949818E-3</v>
      </c>
      <c r="N5">
        <f t="shared" si="1"/>
        <v>3.5058610515328759E-3</v>
      </c>
      <c r="O5">
        <f t="shared" si="1"/>
        <v>3.5355662422023606E-3</v>
      </c>
    </row>
    <row r="6" spans="1:20">
      <c r="A6" s="9"/>
      <c r="B6">
        <f>14.08/20.13</f>
        <v>0.69945355191256831</v>
      </c>
      <c r="C6">
        <f>14.12/20.37</f>
        <v>0.69317623956799213</v>
      </c>
      <c r="D6">
        <f>13.58/20</f>
        <v>0.67900000000000005</v>
      </c>
      <c r="E6">
        <f t="shared" si="2"/>
        <v>0.6905432638268536</v>
      </c>
      <c r="F6">
        <f t="shared" si="0"/>
        <v>1.0477898997418307E-2</v>
      </c>
      <c r="G6">
        <v>4.5</v>
      </c>
      <c r="H6">
        <v>5</v>
      </c>
      <c r="I6">
        <f t="shared" si="3"/>
        <v>4.9729458722947832</v>
      </c>
      <c r="J6">
        <v>20.13</v>
      </c>
      <c r="K6">
        <v>20.37</v>
      </c>
      <c r="L6">
        <v>20</v>
      </c>
      <c r="M6">
        <f t="shared" si="4"/>
        <v>1.5087487715988994E-3</v>
      </c>
      <c r="N6">
        <f t="shared" si="1"/>
        <v>1.4790482712675442E-3</v>
      </c>
      <c r="O6">
        <f t="shared" si="1"/>
        <v>1.4790283305264982E-3</v>
      </c>
    </row>
    <row r="7" spans="1:20">
      <c r="B7">
        <f>41.46/20.38</f>
        <v>2.0343473994111876</v>
      </c>
      <c r="C7">
        <f>40.8/20.29</f>
        <v>2.0108427796944306</v>
      </c>
      <c r="D7">
        <f>40.96/20.09</f>
        <v>2.0388252862120457</v>
      </c>
      <c r="E7">
        <f>AVERAGE(B7:D7)</f>
        <v>2.028005155105888</v>
      </c>
      <c r="F7">
        <f>_xlfn.STDEV.S(B7:D7)</f>
        <v>1.5030742326085311E-2</v>
      </c>
      <c r="G7" s="15" t="s">
        <v>188</v>
      </c>
      <c r="H7">
        <v>17.3</v>
      </c>
      <c r="I7">
        <f t="shared" si="3"/>
        <v>14.604674889139334</v>
      </c>
      <c r="J7">
        <v>20.38</v>
      </c>
      <c r="K7">
        <v>20.29</v>
      </c>
      <c r="L7">
        <v>20.09</v>
      </c>
      <c r="M7">
        <f t="shared" si="4"/>
        <v>4.1219610239000152E-3</v>
      </c>
      <c r="N7">
        <f t="shared" si="1"/>
        <v>4.0930905772007383E-3</v>
      </c>
      <c r="O7">
        <f t="shared" si="1"/>
        <v>4.1905354116727675E-3</v>
      </c>
    </row>
    <row r="8" spans="1:20">
      <c r="R8" t="s">
        <v>181</v>
      </c>
    </row>
    <row r="9" spans="1:20">
      <c r="K9" s="29" t="s">
        <v>189</v>
      </c>
      <c r="L9" s="29"/>
      <c r="N9" t="s">
        <v>190</v>
      </c>
      <c r="R9" t="s">
        <v>94</v>
      </c>
      <c r="S9" t="s">
        <v>95</v>
      </c>
    </row>
    <row r="10" spans="1:20">
      <c r="A10" t="s">
        <v>74</v>
      </c>
      <c r="K10" s="29"/>
      <c r="L10" s="29"/>
      <c r="N10">
        <f>MAX(M3:O7)</f>
        <v>4.1905354116727675E-3</v>
      </c>
      <c r="R10">
        <v>0.01</v>
      </c>
      <c r="S10">
        <v>4.1000000000000002E-2</v>
      </c>
      <c r="T10" t="s">
        <v>97</v>
      </c>
    </row>
    <row r="11" spans="1:20">
      <c r="A11">
        <f>0.4536</f>
        <v>0.4536</v>
      </c>
      <c r="K11" s="29"/>
      <c r="L11" s="29"/>
      <c r="N11" t="s">
        <v>191</v>
      </c>
    </row>
    <row r="12" spans="1:20">
      <c r="K12" s="29"/>
      <c r="L12" s="29"/>
      <c r="N12">
        <f>((N10)^2+(F7)^2)^0.5</f>
        <v>1.5603967505402463E-2</v>
      </c>
    </row>
    <row r="13" spans="1:20">
      <c r="K13" s="29"/>
      <c r="L13" s="29"/>
      <c r="P13" t="s">
        <v>192</v>
      </c>
    </row>
    <row r="14" spans="1:20">
      <c r="K14" s="29"/>
      <c r="L14" s="29"/>
      <c r="N14" t="s">
        <v>193</v>
      </c>
      <c r="P14">
        <f>N12*60/8.3316</f>
        <v>0.11237193940229341</v>
      </c>
    </row>
    <row r="15" spans="1:20">
      <c r="K15" s="29"/>
      <c r="L15" s="29"/>
      <c r="N15">
        <f>13.92/20.03</f>
        <v>0.69495756365451822</v>
      </c>
    </row>
  </sheetData>
  <mergeCells count="1">
    <mergeCell ref="K9:L15"/>
  </mergeCells>
  <phoneticPr fontId="10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364BF-101D-4D5A-B0AF-D6A5E9A37388}">
  <dimension ref="A1:AU89"/>
  <sheetViews>
    <sheetView topLeftCell="A31" zoomScale="87" zoomScaleNormal="70" workbookViewId="0">
      <selection activeCell="A19" sqref="A19"/>
    </sheetView>
  </sheetViews>
  <sheetFormatPr defaultRowHeight="15.75"/>
  <cols>
    <col min="1" max="1" width="24" customWidth="1"/>
    <col min="2" max="5" width="8.75" bestFit="1" customWidth="1"/>
    <col min="6" max="6" width="12.5" customWidth="1"/>
    <col min="8" max="8" width="26.375" customWidth="1"/>
    <col min="9" max="12" width="8.75" bestFit="1" customWidth="1"/>
    <col min="13" max="13" width="10.875" customWidth="1"/>
    <col min="15" max="15" width="28.25" customWidth="1"/>
    <col min="16" max="16" width="9" bestFit="1" customWidth="1"/>
    <col min="17" max="17" width="12.75" bestFit="1" customWidth="1"/>
    <col min="18" max="19" width="9" bestFit="1" customWidth="1"/>
    <col min="20" max="20" width="11.875" customWidth="1"/>
    <col min="25" max="25" width="10.5" customWidth="1"/>
    <col min="28" max="28" width="18.5" customWidth="1"/>
    <col min="30" max="30" width="15.375" customWidth="1"/>
    <col min="31" max="31" width="11.5" customWidth="1"/>
    <col min="32" max="32" width="14.125" customWidth="1"/>
    <col min="33" max="33" width="21.25" bestFit="1" customWidth="1"/>
  </cols>
  <sheetData>
    <row r="1" spans="1:27">
      <c r="A1" s="2" t="s">
        <v>0</v>
      </c>
      <c r="B1" s="2">
        <v>503</v>
      </c>
      <c r="G1" s="5"/>
      <c r="H1" s="2" t="s">
        <v>0</v>
      </c>
      <c r="I1" s="2">
        <v>754</v>
      </c>
      <c r="N1" s="5"/>
      <c r="O1" s="2" t="s">
        <v>0</v>
      </c>
      <c r="P1" s="2">
        <v>1095</v>
      </c>
      <c r="U1" s="5"/>
      <c r="W1" t="s">
        <v>194</v>
      </c>
    </row>
    <row r="2" spans="1:27">
      <c r="B2" t="s">
        <v>3</v>
      </c>
      <c r="C2" t="s">
        <v>4</v>
      </c>
      <c r="D2" t="s">
        <v>5</v>
      </c>
      <c r="E2" t="s">
        <v>6</v>
      </c>
      <c r="F2" t="s">
        <v>7</v>
      </c>
      <c r="G2" s="6"/>
      <c r="I2" t="s">
        <v>3</v>
      </c>
      <c r="J2" t="s">
        <v>4</v>
      </c>
      <c r="K2" t="s">
        <v>5</v>
      </c>
      <c r="L2" t="s">
        <v>6</v>
      </c>
      <c r="M2" t="s">
        <v>7</v>
      </c>
      <c r="N2" s="6"/>
      <c r="P2" t="s">
        <v>3</v>
      </c>
      <c r="Q2" t="s">
        <v>4</v>
      </c>
      <c r="R2" t="s">
        <v>5</v>
      </c>
      <c r="S2" t="s">
        <v>6</v>
      </c>
      <c r="T2" t="s">
        <v>7</v>
      </c>
      <c r="U2" s="6"/>
      <c r="W2">
        <f>AVERAGE(W4:Y4)</f>
        <v>27.3</v>
      </c>
      <c r="X2" t="s">
        <v>195</v>
      </c>
      <c r="Z2">
        <f>W2/39.37</f>
        <v>0.69342138684277377</v>
      </c>
      <c r="AA2" t="s">
        <v>196</v>
      </c>
    </row>
    <row r="3" spans="1:27">
      <c r="A3" t="s">
        <v>197</v>
      </c>
      <c r="B3">
        <v>4.2</v>
      </c>
      <c r="C3">
        <v>4.0999999999999996</v>
      </c>
      <c r="D3">
        <v>4.0999999999999996</v>
      </c>
      <c r="E3">
        <f t="shared" ref="E3:E8" si="0">AVERAGE(B3:D3)</f>
        <v>4.1333333333333337</v>
      </c>
      <c r="F3">
        <f t="shared" ref="F3:F8" si="1">_xlfn.STDEV.S(B3:D3)</f>
        <v>5.7735026918962887E-2</v>
      </c>
      <c r="G3" s="6"/>
      <c r="H3" t="s">
        <v>197</v>
      </c>
      <c r="I3">
        <v>11.8</v>
      </c>
      <c r="J3">
        <v>11.6</v>
      </c>
      <c r="K3">
        <v>11.6</v>
      </c>
      <c r="L3">
        <f t="shared" ref="L3:L8" si="2">AVERAGE(I3:K3)</f>
        <v>11.666666666666666</v>
      </c>
      <c r="M3">
        <f t="shared" ref="M3:M8" si="3">_xlfn.STDEV.S(I3:K3)</f>
        <v>0.11547005383792577</v>
      </c>
      <c r="N3" s="6"/>
      <c r="O3" t="s">
        <v>197</v>
      </c>
      <c r="P3">
        <v>20.5</v>
      </c>
      <c r="Q3">
        <v>20.7</v>
      </c>
      <c r="R3">
        <v>20.5</v>
      </c>
      <c r="S3">
        <f t="shared" ref="S3:S8" si="4">AVERAGE(P3:R3)</f>
        <v>20.566666666666666</v>
      </c>
      <c r="T3">
        <f t="shared" ref="T3:T8" si="5">_xlfn.STDEV.S(P3:R3)</f>
        <v>0.11547005383792475</v>
      </c>
      <c r="U3" s="6"/>
    </row>
    <row r="4" spans="1:27">
      <c r="A4" t="s">
        <v>198</v>
      </c>
      <c r="B4" t="s">
        <v>188</v>
      </c>
      <c r="C4" t="s">
        <v>188</v>
      </c>
      <c r="D4" t="s">
        <v>188</v>
      </c>
      <c r="E4" t="e">
        <f t="shared" si="0"/>
        <v>#DIV/0!</v>
      </c>
      <c r="F4" t="e">
        <f t="shared" si="1"/>
        <v>#DIV/0!</v>
      </c>
      <c r="G4" s="6"/>
      <c r="H4" t="s">
        <v>198</v>
      </c>
      <c r="I4">
        <v>8.5</v>
      </c>
      <c r="J4">
        <v>8.5</v>
      </c>
      <c r="K4">
        <v>8.5</v>
      </c>
      <c r="L4">
        <f t="shared" si="2"/>
        <v>8.5</v>
      </c>
      <c r="M4">
        <f t="shared" si="3"/>
        <v>0</v>
      </c>
      <c r="N4" s="6"/>
      <c r="O4" t="s">
        <v>198</v>
      </c>
      <c r="P4">
        <v>15.5</v>
      </c>
      <c r="Q4">
        <v>15.5</v>
      </c>
      <c r="R4">
        <v>15.5</v>
      </c>
      <c r="S4">
        <f t="shared" si="4"/>
        <v>15.5</v>
      </c>
      <c r="T4">
        <f t="shared" si="5"/>
        <v>0</v>
      </c>
      <c r="U4" s="6"/>
      <c r="W4">
        <v>27.3</v>
      </c>
      <c r="X4">
        <v>27.3</v>
      </c>
      <c r="Y4">
        <v>27.3</v>
      </c>
    </row>
    <row r="5" spans="1:27">
      <c r="A5" t="s">
        <v>112</v>
      </c>
      <c r="B5">
        <v>0.9</v>
      </c>
      <c r="C5">
        <v>0.9</v>
      </c>
      <c r="D5">
        <v>0.9</v>
      </c>
      <c r="E5">
        <f t="shared" si="0"/>
        <v>0.9</v>
      </c>
      <c r="F5">
        <f t="shared" si="1"/>
        <v>0</v>
      </c>
      <c r="G5" s="6"/>
      <c r="H5" t="s">
        <v>112</v>
      </c>
      <c r="I5">
        <v>0.9</v>
      </c>
      <c r="J5">
        <v>0.9</v>
      </c>
      <c r="K5">
        <v>0.91</v>
      </c>
      <c r="L5">
        <f t="shared" si="2"/>
        <v>0.90333333333333332</v>
      </c>
      <c r="M5">
        <f t="shared" si="3"/>
        <v>5.7735026918962623E-3</v>
      </c>
      <c r="N5" s="6"/>
      <c r="O5" t="s">
        <v>112</v>
      </c>
      <c r="P5">
        <v>0.75</v>
      </c>
      <c r="Q5">
        <v>0.76</v>
      </c>
      <c r="R5">
        <v>0.76</v>
      </c>
      <c r="S5">
        <f t="shared" si="4"/>
        <v>0.75666666666666671</v>
      </c>
      <c r="T5">
        <f t="shared" si="5"/>
        <v>5.7735026918962623E-3</v>
      </c>
      <c r="U5" s="6"/>
      <c r="W5" t="s">
        <v>199</v>
      </c>
    </row>
    <row r="6" spans="1:27">
      <c r="A6" t="s">
        <v>200</v>
      </c>
      <c r="B6">
        <v>9</v>
      </c>
      <c r="C6">
        <v>9</v>
      </c>
      <c r="D6">
        <v>9</v>
      </c>
      <c r="E6">
        <f t="shared" si="0"/>
        <v>9</v>
      </c>
      <c r="F6">
        <f t="shared" si="1"/>
        <v>0</v>
      </c>
      <c r="G6" s="6"/>
      <c r="H6" t="s">
        <v>200</v>
      </c>
      <c r="I6">
        <v>16</v>
      </c>
      <c r="J6">
        <v>16</v>
      </c>
      <c r="K6">
        <v>16</v>
      </c>
      <c r="L6">
        <f t="shared" si="2"/>
        <v>16</v>
      </c>
      <c r="M6">
        <f t="shared" si="3"/>
        <v>0</v>
      </c>
      <c r="N6" s="6"/>
      <c r="O6" t="s">
        <v>200</v>
      </c>
      <c r="P6">
        <v>26.1</v>
      </c>
      <c r="Q6">
        <v>26.1</v>
      </c>
      <c r="R6">
        <v>26.1</v>
      </c>
      <c r="S6">
        <f t="shared" si="4"/>
        <v>26.100000000000005</v>
      </c>
      <c r="T6">
        <f t="shared" si="5"/>
        <v>4.3511678576336583E-15</v>
      </c>
      <c r="U6" s="6"/>
      <c r="W6" t="s">
        <v>201</v>
      </c>
    </row>
    <row r="7" spans="1:27">
      <c r="A7" t="s">
        <v>14</v>
      </c>
      <c r="B7">
        <v>55</v>
      </c>
      <c r="C7">
        <v>54</v>
      </c>
      <c r="D7">
        <v>54</v>
      </c>
      <c r="E7">
        <f t="shared" si="0"/>
        <v>54.333333333333336</v>
      </c>
      <c r="F7">
        <f t="shared" si="1"/>
        <v>0.57735026918962584</v>
      </c>
      <c r="G7" s="6"/>
      <c r="H7" t="s">
        <v>14</v>
      </c>
      <c r="I7">
        <v>122</v>
      </c>
      <c r="J7">
        <v>122.5</v>
      </c>
      <c r="K7">
        <v>122.5</v>
      </c>
      <c r="L7">
        <f t="shared" si="2"/>
        <v>122.33333333333333</v>
      </c>
      <c r="M7">
        <f t="shared" si="3"/>
        <v>0.28867513459481292</v>
      </c>
      <c r="N7" s="6"/>
      <c r="O7" t="s">
        <v>14</v>
      </c>
      <c r="P7">
        <v>210</v>
      </c>
      <c r="Q7">
        <v>210</v>
      </c>
      <c r="R7">
        <v>210</v>
      </c>
      <c r="S7">
        <f t="shared" si="4"/>
        <v>210</v>
      </c>
      <c r="T7">
        <f t="shared" si="5"/>
        <v>0</v>
      </c>
      <c r="U7" s="6"/>
    </row>
    <row r="8" spans="1:27">
      <c r="A8" t="s">
        <v>15</v>
      </c>
      <c r="B8">
        <v>1.4</v>
      </c>
      <c r="C8">
        <v>1.4</v>
      </c>
      <c r="D8">
        <v>1.4</v>
      </c>
      <c r="E8">
        <f t="shared" si="0"/>
        <v>1.3999999999999997</v>
      </c>
      <c r="F8">
        <f t="shared" si="1"/>
        <v>2.7194799110210365E-16</v>
      </c>
      <c r="G8" s="6"/>
      <c r="H8" t="s">
        <v>15</v>
      </c>
      <c r="I8">
        <v>1.95</v>
      </c>
      <c r="J8">
        <v>1.98</v>
      </c>
      <c r="K8">
        <v>1.98</v>
      </c>
      <c r="L8">
        <f t="shared" si="2"/>
        <v>1.97</v>
      </c>
      <c r="M8">
        <f t="shared" si="3"/>
        <v>1.7320508075688787E-2</v>
      </c>
      <c r="N8" s="6"/>
      <c r="O8" t="s">
        <v>15</v>
      </c>
      <c r="P8">
        <v>2.58</v>
      </c>
      <c r="Q8">
        <v>2.58</v>
      </c>
      <c r="R8">
        <v>2.58</v>
      </c>
      <c r="S8">
        <f t="shared" si="4"/>
        <v>2.58</v>
      </c>
      <c r="T8">
        <f t="shared" si="5"/>
        <v>0</v>
      </c>
      <c r="U8" s="6"/>
    </row>
    <row r="9" spans="1:27">
      <c r="G9" s="6"/>
      <c r="N9" s="6"/>
      <c r="U9" s="6"/>
    </row>
    <row r="10" spans="1:27">
      <c r="A10" t="s">
        <v>202</v>
      </c>
      <c r="B10">
        <v>5.2</v>
      </c>
      <c r="C10">
        <v>5.0999999999999996</v>
      </c>
      <c r="D10">
        <v>5.2</v>
      </c>
      <c r="E10">
        <f t="shared" ref="E10:E15" si="6">AVERAGE(B10:D10)</f>
        <v>5.166666666666667</v>
      </c>
      <c r="F10">
        <f t="shared" ref="F10:F15" si="7">_xlfn.STDEV.S(B10:D10)</f>
        <v>5.7735026918962887E-2</v>
      </c>
      <c r="G10" s="6"/>
      <c r="H10" t="s">
        <v>202</v>
      </c>
      <c r="I10">
        <v>13</v>
      </c>
      <c r="J10">
        <v>12.9</v>
      </c>
      <c r="K10">
        <v>13</v>
      </c>
      <c r="L10">
        <f t="shared" ref="L10:L15" si="8">AVERAGE(I10:K10)</f>
        <v>12.966666666666667</v>
      </c>
      <c r="M10">
        <f t="shared" ref="M10:M15" si="9">_xlfn.STDEV.S(I10:K10)</f>
        <v>5.7735026918962373E-2</v>
      </c>
      <c r="N10" s="6"/>
      <c r="O10" t="s">
        <v>202</v>
      </c>
      <c r="P10" t="s">
        <v>203</v>
      </c>
      <c r="Q10" t="s">
        <v>203</v>
      </c>
      <c r="R10" t="s">
        <v>203</v>
      </c>
      <c r="S10" t="e">
        <f t="shared" ref="S10:S15" si="10">AVERAGE(P10:R10)</f>
        <v>#DIV/0!</v>
      </c>
      <c r="T10" t="e">
        <f t="shared" ref="T10:T15" si="11">_xlfn.STDEV.S(P10:R10)</f>
        <v>#DIV/0!</v>
      </c>
      <c r="U10" s="6"/>
    </row>
    <row r="11" spans="1:27">
      <c r="A11" t="s">
        <v>204</v>
      </c>
      <c r="B11">
        <v>5.3</v>
      </c>
      <c r="C11">
        <v>5.5</v>
      </c>
      <c r="D11">
        <v>5.5</v>
      </c>
      <c r="E11">
        <f t="shared" si="6"/>
        <v>5.4333333333333336</v>
      </c>
      <c r="F11">
        <f t="shared" si="7"/>
        <v>0.11547005383792526</v>
      </c>
      <c r="G11" s="6"/>
      <c r="H11" t="s">
        <v>204</v>
      </c>
      <c r="I11">
        <v>9</v>
      </c>
      <c r="J11">
        <v>9.0500000000000007</v>
      </c>
      <c r="K11">
        <v>9</v>
      </c>
      <c r="L11">
        <f t="shared" si="8"/>
        <v>9.0166666666666675</v>
      </c>
      <c r="M11">
        <f t="shared" si="9"/>
        <v>2.88675134594817E-2</v>
      </c>
      <c r="N11" s="6"/>
      <c r="O11" t="s">
        <v>204</v>
      </c>
      <c r="P11">
        <v>15.8</v>
      </c>
      <c r="Q11">
        <v>15.9</v>
      </c>
      <c r="R11">
        <v>15.9</v>
      </c>
      <c r="S11">
        <f t="shared" si="10"/>
        <v>15.866666666666667</v>
      </c>
      <c r="T11">
        <f t="shared" si="11"/>
        <v>5.7735026918962373E-2</v>
      </c>
      <c r="U11" s="6"/>
    </row>
    <row r="12" spans="1:27">
      <c r="A12" t="s">
        <v>124</v>
      </c>
      <c r="B12">
        <v>0.9</v>
      </c>
      <c r="C12">
        <v>0.9</v>
      </c>
      <c r="D12">
        <v>0.91</v>
      </c>
      <c r="E12">
        <f t="shared" si="6"/>
        <v>0.90333333333333332</v>
      </c>
      <c r="F12">
        <f t="shared" si="7"/>
        <v>5.7735026918962623E-3</v>
      </c>
      <c r="G12" s="6"/>
      <c r="H12" t="s">
        <v>124</v>
      </c>
      <c r="I12">
        <v>0.89</v>
      </c>
      <c r="J12">
        <v>0.89</v>
      </c>
      <c r="K12">
        <v>0.89</v>
      </c>
      <c r="L12">
        <f t="shared" si="8"/>
        <v>0.89</v>
      </c>
      <c r="M12">
        <f t="shared" si="9"/>
        <v>0</v>
      </c>
      <c r="N12" s="6"/>
      <c r="O12" t="s">
        <v>124</v>
      </c>
      <c r="P12">
        <v>0.75</v>
      </c>
      <c r="Q12">
        <v>0.74</v>
      </c>
      <c r="R12">
        <v>0.75</v>
      </c>
      <c r="S12">
        <f t="shared" si="10"/>
        <v>0.7466666666666667</v>
      </c>
      <c r="T12">
        <f t="shared" si="11"/>
        <v>5.7735026918962623E-3</v>
      </c>
      <c r="U12" s="6"/>
    </row>
    <row r="13" spans="1:27">
      <c r="A13" t="s">
        <v>205</v>
      </c>
      <c r="B13">
        <v>7.9</v>
      </c>
      <c r="C13">
        <v>7.7</v>
      </c>
      <c r="D13">
        <v>7.7</v>
      </c>
      <c r="E13">
        <f t="shared" si="6"/>
        <v>7.7666666666666666</v>
      </c>
      <c r="F13">
        <f t="shared" si="7"/>
        <v>0.11547005383792526</v>
      </c>
      <c r="G13" s="6"/>
      <c r="H13" t="s">
        <v>205</v>
      </c>
      <c r="I13">
        <v>13.9</v>
      </c>
      <c r="J13">
        <v>13.9</v>
      </c>
      <c r="K13">
        <v>13.9</v>
      </c>
      <c r="L13">
        <f t="shared" si="8"/>
        <v>13.9</v>
      </c>
      <c r="M13">
        <f t="shared" si="9"/>
        <v>0</v>
      </c>
      <c r="N13" s="6"/>
      <c r="O13" t="s">
        <v>205</v>
      </c>
      <c r="P13">
        <v>23.2</v>
      </c>
      <c r="Q13">
        <v>23.2</v>
      </c>
      <c r="R13">
        <v>23.2</v>
      </c>
      <c r="S13">
        <f t="shared" si="10"/>
        <v>23.2</v>
      </c>
      <c r="T13">
        <f t="shared" si="11"/>
        <v>0</v>
      </c>
      <c r="U13" s="6"/>
    </row>
    <row r="14" spans="1:27">
      <c r="A14" t="s">
        <v>21</v>
      </c>
      <c r="B14">
        <v>53</v>
      </c>
      <c r="C14">
        <v>53</v>
      </c>
      <c r="D14">
        <v>53</v>
      </c>
      <c r="E14">
        <f t="shared" si="6"/>
        <v>53</v>
      </c>
      <c r="F14">
        <f t="shared" si="7"/>
        <v>0</v>
      </c>
      <c r="G14" s="6"/>
      <c r="H14" t="s">
        <v>21</v>
      </c>
      <c r="I14">
        <v>125</v>
      </c>
      <c r="J14">
        <v>125</v>
      </c>
      <c r="K14">
        <v>125</v>
      </c>
      <c r="L14">
        <f t="shared" si="8"/>
        <v>125</v>
      </c>
      <c r="M14">
        <f t="shared" si="9"/>
        <v>0</v>
      </c>
      <c r="N14" s="6"/>
      <c r="O14" t="s">
        <v>21</v>
      </c>
      <c r="P14">
        <v>210</v>
      </c>
      <c r="Q14">
        <v>210</v>
      </c>
      <c r="R14">
        <v>210</v>
      </c>
      <c r="S14">
        <f t="shared" si="10"/>
        <v>210</v>
      </c>
      <c r="T14">
        <f t="shared" si="11"/>
        <v>0</v>
      </c>
      <c r="U14" s="6"/>
    </row>
    <row r="15" spans="1:27">
      <c r="A15" t="s">
        <v>22</v>
      </c>
      <c r="B15">
        <v>1.32</v>
      </c>
      <c r="C15">
        <v>1.32</v>
      </c>
      <c r="D15">
        <v>1.32</v>
      </c>
      <c r="E15">
        <f t="shared" si="6"/>
        <v>1.32</v>
      </c>
      <c r="F15">
        <f t="shared" si="7"/>
        <v>0</v>
      </c>
      <c r="G15" s="6"/>
      <c r="H15" t="s">
        <v>22</v>
      </c>
      <c r="I15">
        <v>1.95</v>
      </c>
      <c r="J15">
        <v>1.95</v>
      </c>
      <c r="K15">
        <v>1.95</v>
      </c>
      <c r="L15">
        <f t="shared" si="8"/>
        <v>1.95</v>
      </c>
      <c r="M15">
        <f t="shared" si="9"/>
        <v>0</v>
      </c>
      <c r="N15" s="6"/>
      <c r="O15" t="s">
        <v>22</v>
      </c>
      <c r="P15">
        <v>2.52</v>
      </c>
      <c r="Q15">
        <v>2.52</v>
      </c>
      <c r="R15">
        <v>2.52</v>
      </c>
      <c r="S15">
        <f t="shared" si="10"/>
        <v>2.52</v>
      </c>
      <c r="T15">
        <f t="shared" si="11"/>
        <v>0</v>
      </c>
      <c r="U15" s="6"/>
    </row>
    <row r="16" spans="1:27">
      <c r="G16" s="6"/>
      <c r="N16" s="6"/>
      <c r="U16" s="6"/>
    </row>
    <row r="17" spans="1:21">
      <c r="A17" t="s">
        <v>206</v>
      </c>
      <c r="B17">
        <v>5.2</v>
      </c>
      <c r="C17">
        <v>5.2</v>
      </c>
      <c r="D17">
        <v>5.0999999999999996</v>
      </c>
      <c r="E17">
        <f t="shared" ref="E17:E22" si="12">AVERAGE(B17:D17)</f>
        <v>5.166666666666667</v>
      </c>
      <c r="F17">
        <f t="shared" ref="F17:F22" si="13">_xlfn.STDEV.S(B17:D17)</f>
        <v>5.773502691896288E-2</v>
      </c>
      <c r="G17" s="6"/>
      <c r="H17" t="s">
        <v>207</v>
      </c>
      <c r="I17">
        <v>12.9</v>
      </c>
      <c r="J17">
        <v>13.1</v>
      </c>
      <c r="K17">
        <v>13</v>
      </c>
      <c r="L17">
        <f t="shared" ref="L17:L22" si="14">AVERAGE(I17:K17)</f>
        <v>13</v>
      </c>
      <c r="M17">
        <f t="shared" ref="M17:M22" si="15">_xlfn.STDEV.S(I17:K17)</f>
        <v>9.9999999999999645E-2</v>
      </c>
      <c r="N17" s="6"/>
      <c r="O17" t="s">
        <v>206</v>
      </c>
      <c r="P17" t="s">
        <v>203</v>
      </c>
      <c r="Q17" t="s">
        <v>203</v>
      </c>
      <c r="R17" t="s">
        <v>203</v>
      </c>
      <c r="S17" t="e">
        <f t="shared" ref="S17:S22" si="16">AVERAGE(P17:R17)</f>
        <v>#DIV/0!</v>
      </c>
      <c r="T17" t="e">
        <f t="shared" ref="T17:T22" si="17">_xlfn.STDEV.S(P17:R17)</f>
        <v>#DIV/0!</v>
      </c>
      <c r="U17" s="6"/>
    </row>
    <row r="18" spans="1:21">
      <c r="A18" t="s">
        <v>208</v>
      </c>
      <c r="B18">
        <v>5.5</v>
      </c>
      <c r="C18">
        <v>5.5</v>
      </c>
      <c r="D18">
        <v>5.6</v>
      </c>
      <c r="E18">
        <f t="shared" si="12"/>
        <v>5.5333333333333341</v>
      </c>
      <c r="F18">
        <f t="shared" si="13"/>
        <v>5.7735026918962373E-2</v>
      </c>
      <c r="G18" s="6"/>
      <c r="H18" t="s">
        <v>208</v>
      </c>
      <c r="I18">
        <v>9.1</v>
      </c>
      <c r="J18">
        <v>9.1999999999999993</v>
      </c>
      <c r="K18">
        <v>9.1</v>
      </c>
      <c r="L18">
        <f t="shared" si="14"/>
        <v>9.1333333333333329</v>
      </c>
      <c r="M18">
        <f t="shared" si="15"/>
        <v>5.7735026918962373E-2</v>
      </c>
      <c r="N18" s="6"/>
      <c r="O18" t="s">
        <v>208</v>
      </c>
      <c r="P18">
        <v>16</v>
      </c>
      <c r="Q18">
        <v>16.100000000000001</v>
      </c>
      <c r="R18">
        <v>16.100000000000001</v>
      </c>
      <c r="S18">
        <f t="shared" si="16"/>
        <v>16.066666666666666</v>
      </c>
      <c r="T18">
        <f t="shared" si="17"/>
        <v>5.77350269189634E-2</v>
      </c>
      <c r="U18" s="6"/>
    </row>
    <row r="19" spans="1:21">
      <c r="A19" t="s">
        <v>134</v>
      </c>
      <c r="B19">
        <v>0.9</v>
      </c>
      <c r="C19">
        <v>0.91</v>
      </c>
      <c r="D19">
        <v>0.91</v>
      </c>
      <c r="E19">
        <f t="shared" si="12"/>
        <v>0.90666666666666673</v>
      </c>
      <c r="F19">
        <f t="shared" si="13"/>
        <v>5.7735026918962623E-3</v>
      </c>
      <c r="G19" s="6"/>
      <c r="H19" t="s">
        <v>134</v>
      </c>
      <c r="I19">
        <v>0.89</v>
      </c>
      <c r="J19">
        <v>0.9</v>
      </c>
      <c r="K19">
        <v>0.89</v>
      </c>
      <c r="L19">
        <f t="shared" si="14"/>
        <v>0.89333333333333342</v>
      </c>
      <c r="M19">
        <f t="shared" si="15"/>
        <v>5.7735026918962632E-3</v>
      </c>
      <c r="N19" s="6"/>
      <c r="O19" t="s">
        <v>134</v>
      </c>
      <c r="P19">
        <v>0.75</v>
      </c>
      <c r="Q19">
        <v>0.73</v>
      </c>
      <c r="R19">
        <v>0.72</v>
      </c>
      <c r="S19">
        <f t="shared" si="16"/>
        <v>0.73333333333333339</v>
      </c>
      <c r="T19">
        <f t="shared" si="17"/>
        <v>1.527525231651948E-2</v>
      </c>
      <c r="U19" s="6"/>
    </row>
    <row r="20" spans="1:21">
      <c r="A20" t="s">
        <v>209</v>
      </c>
      <c r="B20">
        <v>7.1</v>
      </c>
      <c r="C20">
        <v>7.1</v>
      </c>
      <c r="D20">
        <v>7.1</v>
      </c>
      <c r="E20">
        <f t="shared" si="12"/>
        <v>7.0999999999999988</v>
      </c>
      <c r="F20">
        <f t="shared" si="13"/>
        <v>1.0877919644084146E-15</v>
      </c>
      <c r="G20" s="6"/>
      <c r="H20" t="s">
        <v>209</v>
      </c>
      <c r="I20">
        <v>12.9</v>
      </c>
      <c r="J20">
        <v>12.9</v>
      </c>
      <c r="K20">
        <v>12.9</v>
      </c>
      <c r="L20">
        <f t="shared" si="14"/>
        <v>12.9</v>
      </c>
      <c r="M20">
        <f t="shared" si="15"/>
        <v>0</v>
      </c>
      <c r="N20" s="6"/>
      <c r="O20" t="s">
        <v>209</v>
      </c>
      <c r="P20">
        <v>20.8</v>
      </c>
      <c r="Q20">
        <v>20.8</v>
      </c>
      <c r="R20">
        <v>20.8</v>
      </c>
      <c r="S20">
        <f t="shared" si="16"/>
        <v>20.8</v>
      </c>
      <c r="T20">
        <f t="shared" si="17"/>
        <v>0</v>
      </c>
      <c r="U20" s="6"/>
    </row>
    <row r="21" spans="1:21">
      <c r="A21" t="s">
        <v>30</v>
      </c>
      <c r="B21">
        <v>53</v>
      </c>
      <c r="C21">
        <v>53</v>
      </c>
      <c r="D21">
        <v>53</v>
      </c>
      <c r="E21">
        <f t="shared" si="12"/>
        <v>53</v>
      </c>
      <c r="F21">
        <f t="shared" si="13"/>
        <v>0</v>
      </c>
      <c r="G21" s="6"/>
      <c r="H21" t="s">
        <v>30</v>
      </c>
      <c r="I21">
        <v>124</v>
      </c>
      <c r="J21">
        <v>124</v>
      </c>
      <c r="K21">
        <v>124</v>
      </c>
      <c r="L21">
        <f t="shared" si="14"/>
        <v>124</v>
      </c>
      <c r="M21">
        <f t="shared" si="15"/>
        <v>0</v>
      </c>
      <c r="N21" s="6"/>
      <c r="O21" t="s">
        <v>30</v>
      </c>
      <c r="P21">
        <v>212</v>
      </c>
      <c r="Q21">
        <v>212</v>
      </c>
      <c r="R21">
        <v>212</v>
      </c>
      <c r="S21">
        <f t="shared" si="16"/>
        <v>212</v>
      </c>
      <c r="T21">
        <f t="shared" si="17"/>
        <v>0</v>
      </c>
      <c r="U21" s="6"/>
    </row>
    <row r="22" spans="1:21">
      <c r="A22" t="s">
        <v>31</v>
      </c>
      <c r="B22">
        <v>1.3</v>
      </c>
      <c r="C22">
        <v>1.3</v>
      </c>
      <c r="D22">
        <v>1.3</v>
      </c>
      <c r="E22">
        <f t="shared" si="12"/>
        <v>1.3</v>
      </c>
      <c r="F22">
        <f t="shared" si="13"/>
        <v>0</v>
      </c>
      <c r="G22" s="6"/>
      <c r="H22" t="s">
        <v>31</v>
      </c>
      <c r="I22">
        <v>1.95</v>
      </c>
      <c r="J22">
        <v>1.95</v>
      </c>
      <c r="K22">
        <v>1.95</v>
      </c>
      <c r="L22">
        <f t="shared" si="14"/>
        <v>1.95</v>
      </c>
      <c r="M22">
        <f t="shared" si="15"/>
        <v>0</v>
      </c>
      <c r="N22" s="6"/>
      <c r="O22" t="s">
        <v>31</v>
      </c>
      <c r="P22">
        <v>2.52</v>
      </c>
      <c r="Q22">
        <v>2.52</v>
      </c>
      <c r="R22">
        <v>2.52</v>
      </c>
      <c r="S22">
        <f t="shared" si="16"/>
        <v>2.52</v>
      </c>
      <c r="T22">
        <f t="shared" si="17"/>
        <v>0</v>
      </c>
      <c r="U22" s="6"/>
    </row>
    <row r="23" spans="1:21">
      <c r="G23" s="6"/>
      <c r="N23" s="6"/>
      <c r="U23" s="6"/>
    </row>
    <row r="24" spans="1:21">
      <c r="A24" t="s">
        <v>210</v>
      </c>
      <c r="B24">
        <v>5</v>
      </c>
      <c r="C24">
        <v>5</v>
      </c>
      <c r="D24">
        <v>4.9000000000000004</v>
      </c>
      <c r="E24">
        <f t="shared" ref="E24:E29" si="18">AVERAGE(B24:D24)</f>
        <v>4.9666666666666668</v>
      </c>
      <c r="F24">
        <f t="shared" ref="F24:F29" si="19">_xlfn.STDEV.S(B24:D24)</f>
        <v>5.7735026918962373E-2</v>
      </c>
      <c r="G24" s="6"/>
      <c r="H24" t="s">
        <v>210</v>
      </c>
      <c r="I24">
        <v>12.4</v>
      </c>
      <c r="J24">
        <v>12.3</v>
      </c>
      <c r="K24">
        <v>12.4</v>
      </c>
      <c r="L24">
        <f>AVERAGE(I24:K24)</f>
        <v>12.366666666666667</v>
      </c>
      <c r="M24">
        <f>_xlfn.STDEV.S(I24:K24)</f>
        <v>5.7735026918962373E-2</v>
      </c>
      <c r="N24" s="6"/>
      <c r="O24" t="s">
        <v>210</v>
      </c>
      <c r="P24">
        <v>21</v>
      </c>
      <c r="Q24">
        <v>20.9</v>
      </c>
      <c r="R24">
        <v>20.8</v>
      </c>
      <c r="S24">
        <f t="shared" ref="S24:S29" si="20">AVERAGE(P24:R24)</f>
        <v>20.900000000000002</v>
      </c>
      <c r="T24">
        <f t="shared" ref="T24:T29" si="21">_xlfn.STDEV.S(P24:R24)</f>
        <v>9.9999999999999645E-2</v>
      </c>
      <c r="U24" s="6"/>
    </row>
    <row r="25" spans="1:21">
      <c r="A25" t="s">
        <v>211</v>
      </c>
      <c r="B25">
        <v>5.4</v>
      </c>
      <c r="C25">
        <v>5.3</v>
      </c>
      <c r="D25">
        <v>5.3</v>
      </c>
      <c r="E25">
        <f t="shared" si="18"/>
        <v>5.333333333333333</v>
      </c>
      <c r="F25">
        <f t="shared" si="19"/>
        <v>5.7735026918962887E-2</v>
      </c>
      <c r="G25" s="6"/>
      <c r="H25" t="s">
        <v>211</v>
      </c>
      <c r="I25">
        <v>9</v>
      </c>
      <c r="J25">
        <v>8.9499999999999993</v>
      </c>
      <c r="K25">
        <v>9</v>
      </c>
      <c r="L25">
        <f t="shared" ref="L25:L29" si="22">AVERAGE(I25:K25)</f>
        <v>8.9833333333333325</v>
      </c>
      <c r="M25">
        <f t="shared" ref="M25:M29" si="23">_xlfn.STDEV.S(I25:K25)</f>
        <v>2.88675134594817E-2</v>
      </c>
      <c r="N25" s="6"/>
      <c r="O25" t="s">
        <v>211</v>
      </c>
      <c r="P25">
        <v>15.7</v>
      </c>
      <c r="Q25">
        <v>15.7</v>
      </c>
      <c r="R25">
        <v>15.8</v>
      </c>
      <c r="S25">
        <f t="shared" si="20"/>
        <v>15.733333333333334</v>
      </c>
      <c r="T25">
        <f t="shared" si="21"/>
        <v>5.77350269189634E-2</v>
      </c>
      <c r="U25" s="6"/>
    </row>
    <row r="26" spans="1:21">
      <c r="A26" t="s">
        <v>143</v>
      </c>
      <c r="B26">
        <v>0.9</v>
      </c>
      <c r="C26">
        <v>0.9</v>
      </c>
      <c r="D26">
        <v>0.9</v>
      </c>
      <c r="E26">
        <f t="shared" si="18"/>
        <v>0.9</v>
      </c>
      <c r="F26">
        <f t="shared" si="19"/>
        <v>0</v>
      </c>
      <c r="G26" s="6"/>
      <c r="H26" t="s">
        <v>143</v>
      </c>
      <c r="I26">
        <v>0.9</v>
      </c>
      <c r="J26">
        <v>0.9</v>
      </c>
      <c r="K26">
        <v>0.9</v>
      </c>
      <c r="L26">
        <f t="shared" si="22"/>
        <v>0.9</v>
      </c>
      <c r="M26">
        <f t="shared" si="23"/>
        <v>0</v>
      </c>
      <c r="N26" s="6"/>
      <c r="O26" t="s">
        <v>143</v>
      </c>
      <c r="P26">
        <v>0.72</v>
      </c>
      <c r="Q26">
        <v>0.72</v>
      </c>
      <c r="R26">
        <v>0.72</v>
      </c>
      <c r="S26">
        <f t="shared" si="20"/>
        <v>0.72000000000000008</v>
      </c>
      <c r="T26">
        <f t="shared" si="21"/>
        <v>1.3597399555105182E-16</v>
      </c>
      <c r="U26" s="6"/>
    </row>
    <row r="27" spans="1:21">
      <c r="A27" t="s">
        <v>212</v>
      </c>
      <c r="B27">
        <v>8</v>
      </c>
      <c r="C27">
        <v>8</v>
      </c>
      <c r="D27">
        <v>8</v>
      </c>
      <c r="E27">
        <f t="shared" si="18"/>
        <v>8</v>
      </c>
      <c r="F27">
        <f t="shared" si="19"/>
        <v>0</v>
      </c>
      <c r="G27" s="6"/>
      <c r="H27" t="s">
        <v>212</v>
      </c>
      <c r="I27">
        <v>14</v>
      </c>
      <c r="J27">
        <v>14</v>
      </c>
      <c r="K27">
        <v>14</v>
      </c>
      <c r="L27">
        <f t="shared" si="22"/>
        <v>14</v>
      </c>
      <c r="M27">
        <f t="shared" si="23"/>
        <v>0</v>
      </c>
      <c r="N27" s="6"/>
      <c r="O27" t="s">
        <v>212</v>
      </c>
      <c r="P27">
        <v>24.5</v>
      </c>
      <c r="Q27">
        <v>24.5</v>
      </c>
      <c r="R27">
        <v>24.5</v>
      </c>
      <c r="S27">
        <f t="shared" si="20"/>
        <v>24.5</v>
      </c>
      <c r="T27">
        <f t="shared" si="21"/>
        <v>0</v>
      </c>
      <c r="U27" s="6"/>
    </row>
    <row r="28" spans="1:21">
      <c r="A28" t="s">
        <v>35</v>
      </c>
      <c r="B28">
        <v>55</v>
      </c>
      <c r="C28">
        <v>55</v>
      </c>
      <c r="D28">
        <v>55</v>
      </c>
      <c r="E28">
        <f t="shared" si="18"/>
        <v>55</v>
      </c>
      <c r="F28">
        <f t="shared" si="19"/>
        <v>0</v>
      </c>
      <c r="G28" s="6"/>
      <c r="H28" t="s">
        <v>35</v>
      </c>
      <c r="I28">
        <v>123</v>
      </c>
      <c r="J28">
        <v>123</v>
      </c>
      <c r="K28">
        <v>123</v>
      </c>
      <c r="L28">
        <f t="shared" si="22"/>
        <v>123</v>
      </c>
      <c r="M28">
        <f t="shared" si="23"/>
        <v>0</v>
      </c>
      <c r="N28" s="6"/>
      <c r="O28" t="s">
        <v>35</v>
      </c>
      <c r="P28">
        <v>212</v>
      </c>
      <c r="Q28">
        <v>212</v>
      </c>
      <c r="R28">
        <v>212</v>
      </c>
      <c r="S28">
        <f t="shared" si="20"/>
        <v>212</v>
      </c>
      <c r="T28">
        <f t="shared" si="21"/>
        <v>0</v>
      </c>
      <c r="U28" s="6"/>
    </row>
    <row r="29" spans="1:21">
      <c r="A29" t="s">
        <v>36</v>
      </c>
      <c r="B29">
        <v>1.32</v>
      </c>
      <c r="C29">
        <v>1.32</v>
      </c>
      <c r="D29">
        <v>1.32</v>
      </c>
      <c r="E29">
        <f t="shared" si="18"/>
        <v>1.32</v>
      </c>
      <c r="F29">
        <f t="shared" si="19"/>
        <v>0</v>
      </c>
      <c r="G29" s="6"/>
      <c r="H29" t="s">
        <v>36</v>
      </c>
      <c r="I29">
        <v>1.95</v>
      </c>
      <c r="J29">
        <v>1.95</v>
      </c>
      <c r="K29">
        <v>1.95</v>
      </c>
      <c r="L29">
        <f t="shared" si="22"/>
        <v>1.95</v>
      </c>
      <c r="M29">
        <f t="shared" si="23"/>
        <v>0</v>
      </c>
      <c r="N29" s="6"/>
      <c r="O29" t="s">
        <v>36</v>
      </c>
      <c r="P29">
        <v>2.5499999999999998</v>
      </c>
      <c r="Q29">
        <v>2.5499999999999998</v>
      </c>
      <c r="R29">
        <v>2.5499999999999998</v>
      </c>
      <c r="S29">
        <f t="shared" si="20"/>
        <v>2.5499999999999998</v>
      </c>
      <c r="T29">
        <f t="shared" si="21"/>
        <v>0</v>
      </c>
      <c r="U29" s="6"/>
    </row>
    <row r="30" spans="1:21">
      <c r="G30" s="6"/>
      <c r="N30" s="6"/>
      <c r="U30" s="6"/>
    </row>
    <row r="31" spans="1:21">
      <c r="A31" t="s">
        <v>213</v>
      </c>
      <c r="B31">
        <v>5.7</v>
      </c>
      <c r="C31">
        <v>5.6</v>
      </c>
      <c r="D31">
        <v>5.5</v>
      </c>
      <c r="E31">
        <f t="shared" ref="E31:E36" si="24">AVERAGE(B31:D31)</f>
        <v>5.6000000000000005</v>
      </c>
      <c r="F31">
        <f t="shared" ref="F31:F36" si="25">_xlfn.STDEV.S(B31:D31)</f>
        <v>0.10000000000000009</v>
      </c>
      <c r="G31" s="6"/>
      <c r="H31" t="s">
        <v>213</v>
      </c>
      <c r="I31">
        <v>13.3</v>
      </c>
      <c r="J31">
        <v>13.2</v>
      </c>
      <c r="K31">
        <v>13.3</v>
      </c>
      <c r="L31">
        <f t="shared" ref="L31:L36" si="26">AVERAGE(I31:K31)</f>
        <v>13.266666666666666</v>
      </c>
      <c r="M31">
        <f t="shared" ref="M31:M36" si="27">_xlfn.STDEV.S(I31:K31)</f>
        <v>5.77350269189634E-2</v>
      </c>
      <c r="N31" s="6"/>
      <c r="O31" t="s">
        <v>213</v>
      </c>
      <c r="P31" t="s">
        <v>203</v>
      </c>
      <c r="Q31" t="s">
        <v>203</v>
      </c>
      <c r="R31" t="s">
        <v>203</v>
      </c>
      <c r="S31" t="e">
        <f t="shared" ref="S31:S36" si="28">AVERAGE(P31:R31)</f>
        <v>#DIV/0!</v>
      </c>
      <c r="T31" t="e">
        <f t="shared" ref="T31:T36" si="29">_xlfn.STDEV.S(P31:R31)</f>
        <v>#DIV/0!</v>
      </c>
      <c r="U31" s="6"/>
    </row>
    <row r="32" spans="1:21">
      <c r="A32" t="s">
        <v>214</v>
      </c>
      <c r="B32">
        <v>5.8</v>
      </c>
      <c r="C32">
        <v>5.9</v>
      </c>
      <c r="D32">
        <v>5.8</v>
      </c>
      <c r="E32">
        <f t="shared" si="24"/>
        <v>5.833333333333333</v>
      </c>
      <c r="F32">
        <f t="shared" si="25"/>
        <v>5.7735026918962887E-2</v>
      </c>
      <c r="G32" s="6"/>
      <c r="H32" t="s">
        <v>214</v>
      </c>
      <c r="I32">
        <v>9.6999999999999993</v>
      </c>
      <c r="J32">
        <v>9.6</v>
      </c>
      <c r="K32">
        <v>9.8000000000000007</v>
      </c>
      <c r="L32">
        <f t="shared" si="26"/>
        <v>9.6999999999999993</v>
      </c>
      <c r="M32">
        <f t="shared" si="27"/>
        <v>0.10000000000000053</v>
      </c>
      <c r="N32" s="6"/>
      <c r="O32" t="s">
        <v>214</v>
      </c>
      <c r="P32">
        <v>16.5</v>
      </c>
      <c r="Q32">
        <v>16.3</v>
      </c>
      <c r="R32">
        <v>16.399999999999999</v>
      </c>
      <c r="S32">
        <f t="shared" si="28"/>
        <v>16.399999999999999</v>
      </c>
      <c r="T32">
        <f t="shared" si="29"/>
        <v>9.9999999999999645E-2</v>
      </c>
      <c r="U32" s="6"/>
    </row>
    <row r="33" spans="1:32">
      <c r="A33" t="s">
        <v>148</v>
      </c>
      <c r="B33">
        <v>0.9</v>
      </c>
      <c r="C33">
        <v>0.9</v>
      </c>
      <c r="D33">
        <v>0.9</v>
      </c>
      <c r="E33">
        <f t="shared" si="24"/>
        <v>0.9</v>
      </c>
      <c r="F33">
        <f t="shared" si="25"/>
        <v>0</v>
      </c>
      <c r="G33" s="6"/>
      <c r="H33" t="s">
        <v>148</v>
      </c>
      <c r="I33">
        <v>0.85</v>
      </c>
      <c r="J33">
        <v>0.85</v>
      </c>
      <c r="K33">
        <v>0.85</v>
      </c>
      <c r="L33">
        <f t="shared" si="26"/>
        <v>0.85</v>
      </c>
      <c r="M33">
        <f t="shared" si="27"/>
        <v>0</v>
      </c>
      <c r="N33" s="6"/>
      <c r="O33" t="s">
        <v>148</v>
      </c>
      <c r="P33">
        <v>0.7</v>
      </c>
      <c r="Q33">
        <v>0.7</v>
      </c>
      <c r="R33">
        <v>0.7</v>
      </c>
      <c r="S33">
        <f t="shared" si="28"/>
        <v>0.69999999999999984</v>
      </c>
      <c r="T33">
        <f t="shared" si="29"/>
        <v>1.3597399555105182E-16</v>
      </c>
      <c r="U33" s="6"/>
    </row>
    <row r="34" spans="1:32">
      <c r="A34" t="s">
        <v>215</v>
      </c>
      <c r="B34">
        <v>6.5</v>
      </c>
      <c r="C34">
        <v>6.5</v>
      </c>
      <c r="D34">
        <v>6.5</v>
      </c>
      <c r="E34">
        <f t="shared" si="24"/>
        <v>6.5</v>
      </c>
      <c r="F34">
        <f t="shared" si="25"/>
        <v>0</v>
      </c>
      <c r="G34" s="6"/>
      <c r="H34" t="s">
        <v>216</v>
      </c>
      <c r="I34">
        <v>11.5</v>
      </c>
      <c r="J34">
        <v>11.5</v>
      </c>
      <c r="K34">
        <v>11.5</v>
      </c>
      <c r="L34">
        <f t="shared" si="26"/>
        <v>11.5</v>
      </c>
      <c r="M34">
        <f t="shared" si="27"/>
        <v>0</v>
      </c>
      <c r="N34" s="6"/>
      <c r="O34" t="s">
        <v>216</v>
      </c>
      <c r="P34">
        <v>18.2</v>
      </c>
      <c r="Q34">
        <v>18.2</v>
      </c>
      <c r="R34">
        <v>18.2</v>
      </c>
      <c r="S34">
        <f t="shared" si="28"/>
        <v>18.2</v>
      </c>
      <c r="T34">
        <f t="shared" si="29"/>
        <v>0</v>
      </c>
      <c r="U34" s="6"/>
    </row>
    <row r="35" spans="1:32">
      <c r="A35" t="s">
        <v>40</v>
      </c>
      <c r="B35">
        <v>55</v>
      </c>
      <c r="C35">
        <v>55</v>
      </c>
      <c r="D35">
        <v>55</v>
      </c>
      <c r="E35">
        <f t="shared" si="24"/>
        <v>55</v>
      </c>
      <c r="F35">
        <f t="shared" si="25"/>
        <v>0</v>
      </c>
      <c r="G35" s="6"/>
      <c r="H35" t="s">
        <v>40</v>
      </c>
      <c r="I35">
        <v>125</v>
      </c>
      <c r="J35">
        <v>124</v>
      </c>
      <c r="K35">
        <v>124</v>
      </c>
      <c r="L35">
        <f t="shared" si="26"/>
        <v>124.33333333333333</v>
      </c>
      <c r="M35">
        <f t="shared" si="27"/>
        <v>0.57735026918962573</v>
      </c>
      <c r="N35" s="6"/>
      <c r="O35" t="s">
        <v>40</v>
      </c>
      <c r="P35">
        <v>210</v>
      </c>
      <c r="Q35">
        <v>211</v>
      </c>
      <c r="R35">
        <v>211</v>
      </c>
      <c r="S35">
        <f t="shared" si="28"/>
        <v>210.66666666666666</v>
      </c>
      <c r="T35">
        <f t="shared" si="29"/>
        <v>0.57735026918962584</v>
      </c>
      <c r="U35" s="6"/>
    </row>
    <row r="36" spans="1:32">
      <c r="A36" t="s">
        <v>41</v>
      </c>
      <c r="B36">
        <v>1.3</v>
      </c>
      <c r="C36">
        <v>1.3</v>
      </c>
      <c r="D36">
        <v>1.3</v>
      </c>
      <c r="E36">
        <f t="shared" si="24"/>
        <v>1.3</v>
      </c>
      <c r="F36">
        <f t="shared" si="25"/>
        <v>0</v>
      </c>
      <c r="G36" s="6"/>
      <c r="H36" t="s">
        <v>41</v>
      </c>
      <c r="I36">
        <v>1.91</v>
      </c>
      <c r="J36">
        <v>1.91</v>
      </c>
      <c r="K36">
        <v>1.91</v>
      </c>
      <c r="L36">
        <f t="shared" si="26"/>
        <v>1.91</v>
      </c>
      <c r="M36">
        <f t="shared" si="27"/>
        <v>0</v>
      </c>
      <c r="N36" s="6"/>
      <c r="O36" t="s">
        <v>41</v>
      </c>
      <c r="P36">
        <v>2.5</v>
      </c>
      <c r="Q36">
        <v>2.5</v>
      </c>
      <c r="R36">
        <v>2.5</v>
      </c>
      <c r="S36">
        <f t="shared" si="28"/>
        <v>2.5</v>
      </c>
      <c r="T36">
        <f t="shared" si="29"/>
        <v>0</v>
      </c>
      <c r="U36" s="6"/>
    </row>
    <row r="37" spans="1:32">
      <c r="G37" s="6"/>
      <c r="N37" s="6"/>
      <c r="U37" s="6"/>
      <c r="AB37" t="s">
        <v>217</v>
      </c>
    </row>
    <row r="38" spans="1:32">
      <c r="A38" s="11" t="s">
        <v>42</v>
      </c>
      <c r="B38" s="10"/>
      <c r="C38" s="10"/>
      <c r="D38" s="10"/>
      <c r="E38" s="10"/>
      <c r="F38" s="10"/>
      <c r="G38" s="6"/>
      <c r="H38" s="11" t="s">
        <v>42</v>
      </c>
      <c r="I38" s="10"/>
      <c r="J38" s="10"/>
      <c r="K38" s="10"/>
      <c r="L38" s="10"/>
      <c r="M38" s="10"/>
      <c r="N38" s="6"/>
      <c r="O38" s="11" t="s">
        <v>42</v>
      </c>
      <c r="P38" s="10"/>
      <c r="Q38" s="10"/>
      <c r="R38" s="10"/>
      <c r="S38" s="10"/>
      <c r="T38" s="10"/>
      <c r="U38" s="6"/>
      <c r="AB38" s="2" t="s">
        <v>218</v>
      </c>
      <c r="AD38" s="2" t="s">
        <v>219</v>
      </c>
      <c r="AF38" s="2" t="s">
        <v>220</v>
      </c>
    </row>
    <row r="39" spans="1:32">
      <c r="A39" t="s">
        <v>221</v>
      </c>
      <c r="B39">
        <f>(0.4871*B3+2.7905)*$A$70</f>
        <v>3.0512437866988499E-4</v>
      </c>
      <c r="C39">
        <f t="shared" ref="C39:D39" si="30">(0.4871*C3+2.7905)*$A$70</f>
        <v>3.0205125520307337E-4</v>
      </c>
      <c r="D39">
        <f t="shared" si="30"/>
        <v>3.0205125520307337E-4</v>
      </c>
      <c r="E39">
        <f t="shared" ref="E39:E41" si="31">AVERAGE(B39:D39)</f>
        <v>3.0307562969201059E-4</v>
      </c>
      <c r="F39">
        <f t="shared" ref="F39:F41" si="32">_xlfn.STDEV.S(B39:D39)</f>
        <v>1.7742686608166447E-6</v>
      </c>
      <c r="G39" s="6"/>
      <c r="H39" t="s">
        <v>221</v>
      </c>
      <c r="I39">
        <f>(0.4871*I3+2.7905)*$A$70</f>
        <v>5.3868176214756376E-4</v>
      </c>
      <c r="J39">
        <f t="shared" ref="J39:K39" si="33">(0.4871*J3+2.7905)*$A$70</f>
        <v>5.3253551521394052E-4</v>
      </c>
      <c r="K39">
        <f t="shared" si="33"/>
        <v>5.3253551521394052E-4</v>
      </c>
      <c r="L39">
        <f t="shared" ref="L39" si="34">AVERAGE(I39:K39)</f>
        <v>5.3458426419181486E-4</v>
      </c>
      <c r="M39">
        <f t="shared" ref="M39" si="35">_xlfn.STDEV.S(I39:K39)</f>
        <v>3.548537321633289E-6</v>
      </c>
      <c r="N39" s="6"/>
      <c r="O39" t="s">
        <v>221</v>
      </c>
      <c r="P39">
        <f>(0.4871*P3+2.7905)*$A$70</f>
        <v>8.0604350376016964E-4</v>
      </c>
      <c r="Q39">
        <f t="shared" ref="Q39:R39" si="36">(0.4871*Q3+2.7905)*$A$70</f>
        <v>8.1218975069379266E-4</v>
      </c>
      <c r="R39">
        <f t="shared" si="36"/>
        <v>8.0604350376016964E-4</v>
      </c>
      <c r="S39">
        <f t="shared" ref="S39" si="37">AVERAGE(P39:R39)</f>
        <v>8.0809225273804398E-4</v>
      </c>
      <c r="T39">
        <f t="shared" ref="T39" si="38">_xlfn.STDEV.S(P39:R39)</f>
        <v>3.5485373216331641E-6</v>
      </c>
      <c r="U39" s="6"/>
      <c r="AB39">
        <f>_xlfn.CONFIDENCE.NORM(0.05,F39, 3)</f>
        <v>2.0077371049985487E-6</v>
      </c>
      <c r="AD39">
        <f>_xlfn.CONFIDENCE.NORM(0.05,M39, 3)</f>
        <v>4.0154742099970974E-6</v>
      </c>
      <c r="AF39">
        <f>_xlfn.CONFIDENCE.NORM(0.05,T39, 3)</f>
        <v>4.0154742099969551E-6</v>
      </c>
    </row>
    <row r="40" spans="1:32">
      <c r="A40" t="s">
        <v>222</v>
      </c>
      <c r="B40">
        <f>(0.4871*B10+2.7905)*$A$70</f>
        <v>3.3585561333800059E-4</v>
      </c>
      <c r="C40">
        <f t="shared" ref="C40:D40" si="39">(0.4871*C10+2.7905)*$A$70</f>
        <v>3.3278248987118897E-4</v>
      </c>
      <c r="D40">
        <f t="shared" si="39"/>
        <v>3.3585561333800059E-4</v>
      </c>
      <c r="E40">
        <f>AVERAGE(B40:D40)</f>
        <v>3.3483123884906336E-4</v>
      </c>
      <c r="F40">
        <f>_xlfn.STDEV.S(B40:D40)</f>
        <v>1.7742686608166447E-6</v>
      </c>
      <c r="G40" s="6"/>
      <c r="H40" t="s">
        <v>222</v>
      </c>
      <c r="I40">
        <f>(0.4871*I10+2.7905)*$A$70</f>
        <v>5.7555924374930244E-4</v>
      </c>
      <c r="J40">
        <f t="shared" ref="J40:K40" si="40">(0.4871*J10+2.7905)*$A$70</f>
        <v>5.7248612028249087E-4</v>
      </c>
      <c r="K40">
        <f t="shared" si="40"/>
        <v>5.7555924374930244E-4</v>
      </c>
      <c r="L40">
        <f>AVERAGE(I40:K40)</f>
        <v>5.7453486926036521E-4</v>
      </c>
      <c r="M40">
        <f>_xlfn.STDEV.S(I40:K40)</f>
        <v>1.7742686608166134E-6</v>
      </c>
      <c r="N40" s="6"/>
      <c r="O40" t="s">
        <v>223</v>
      </c>
      <c r="P40">
        <f>(0.664*P11+2.4222)*$A$70</f>
        <v>8.1470894223618212E-4</v>
      </c>
      <c r="Q40">
        <f t="shared" ref="Q40:R40" si="41">(0.664*Q11+2.4222)*$A$70</f>
        <v>8.1889813127737057E-4</v>
      </c>
      <c r="R40">
        <f t="shared" si="41"/>
        <v>8.1889813127737057E-4</v>
      </c>
      <c r="S40">
        <f>AVERAGE(P40:R40)</f>
        <v>8.1750173493030768E-4</v>
      </c>
      <c r="T40">
        <f>_xlfn.STDEV.S(P40:R40)</f>
        <v>2.4186294206163808E-6</v>
      </c>
      <c r="U40" s="6"/>
      <c r="X40" t="s">
        <v>224</v>
      </c>
      <c r="Y40" t="s">
        <v>225</v>
      </c>
      <c r="Z40">
        <v>2.4222000000000001</v>
      </c>
      <c r="AB40">
        <f t="shared" ref="AB40:AB66" si="42">_xlfn.CONFIDENCE.NORM(0.05,F40, 3)</f>
        <v>2.0077371049985487E-6</v>
      </c>
      <c r="AD40">
        <f t="shared" ref="AD40:AD66" si="43">_xlfn.CONFIDENCE.NORM(0.05,M40, 3)</f>
        <v>2.0077371049985135E-6</v>
      </c>
      <c r="AF40">
        <f t="shared" ref="AF40:AF66" si="44">_xlfn.CONFIDENCE.NORM(0.05,T40, 3)</f>
        <v>2.7368865483864125E-6</v>
      </c>
    </row>
    <row r="41" spans="1:32">
      <c r="A41" t="s">
        <v>226</v>
      </c>
      <c r="B41">
        <f>(0.4871*B17+2.7905)*$A$70</f>
        <v>3.3585561333800059E-4</v>
      </c>
      <c r="C41">
        <f t="shared" ref="C41:D41" si="45">(0.4871*C17+2.7905)*$A$70</f>
        <v>3.3585561333800059E-4</v>
      </c>
      <c r="D41">
        <f t="shared" si="45"/>
        <v>3.3278248987118897E-4</v>
      </c>
      <c r="E41">
        <f t="shared" si="31"/>
        <v>3.3483123884906336E-4</v>
      </c>
      <c r="F41">
        <f t="shared" si="32"/>
        <v>1.7742686608166447E-6</v>
      </c>
      <c r="G41" s="6"/>
      <c r="H41" t="s">
        <v>226</v>
      </c>
      <c r="I41">
        <f>(0.4871*I17+2.7905)*$A$70</f>
        <v>5.7248612028249087E-4</v>
      </c>
      <c r="J41">
        <f t="shared" ref="J41:K41" si="46">(0.4871*J17+2.7905)*$A$70</f>
        <v>5.78632367216114E-4</v>
      </c>
      <c r="K41">
        <f t="shared" si="46"/>
        <v>5.7555924374930244E-4</v>
      </c>
      <c r="L41">
        <f t="shared" ref="L41" si="47">AVERAGE(I41:K41)</f>
        <v>5.7555924374930244E-4</v>
      </c>
      <c r="M41">
        <f t="shared" ref="M41" si="48">_xlfn.STDEV.S(I41:K41)</f>
        <v>3.0731234668115656E-6</v>
      </c>
      <c r="N41" s="6"/>
      <c r="O41" t="s">
        <v>227</v>
      </c>
      <c r="P41">
        <f>(0.664*P18+2.4222)*$A$70</f>
        <v>8.2308732031855902E-4</v>
      </c>
      <c r="Q41">
        <f t="shared" ref="Q41:R41" si="49">(0.664*Q18+2.4222)*$A$70</f>
        <v>8.2727650935974747E-4</v>
      </c>
      <c r="R41">
        <f t="shared" si="49"/>
        <v>8.2727650935974747E-4</v>
      </c>
      <c r="S41">
        <f t="shared" ref="S41" si="50">AVERAGE(P41:R41)</f>
        <v>8.2588011301268458E-4</v>
      </c>
      <c r="T41">
        <f t="shared" ref="T41" si="51">_xlfn.STDEV.S(P41:R41)</f>
        <v>2.4186294206163808E-6</v>
      </c>
      <c r="U41" s="6"/>
      <c r="X41" t="s">
        <v>228</v>
      </c>
      <c r="Y41" t="s">
        <v>229</v>
      </c>
      <c r="Z41">
        <v>2.7905000000000002</v>
      </c>
      <c r="AB41">
        <f t="shared" si="42"/>
        <v>2.0077371049985487E-6</v>
      </c>
      <c r="AD41">
        <f t="shared" si="43"/>
        <v>3.4775026740986746E-6</v>
      </c>
      <c r="AF41">
        <f t="shared" si="44"/>
        <v>2.7368865483864125E-6</v>
      </c>
    </row>
    <row r="42" spans="1:32">
      <c r="A42" t="s">
        <v>230</v>
      </c>
      <c r="B42">
        <f>(0.4871*B24+2.7905)*$A$70</f>
        <v>3.2970936640437746E-4</v>
      </c>
      <c r="C42">
        <f t="shared" ref="C42:D42" si="52">(0.4871*C24+2.7905)*$A$70</f>
        <v>3.2970936640437746E-4</v>
      </c>
      <c r="D42">
        <f t="shared" si="52"/>
        <v>3.2663624293756589E-4</v>
      </c>
      <c r="E42">
        <f>AVERAGE(B42:D42)</f>
        <v>3.2868499191544029E-4</v>
      </c>
      <c r="F42">
        <f>_xlfn.STDEV.S(B42:D42)</f>
        <v>1.7742686608166132E-6</v>
      </c>
      <c r="G42" s="6"/>
      <c r="H42" t="s">
        <v>230</v>
      </c>
      <c r="I42">
        <f>(0.4871*I24+2.7905)*$A$70</f>
        <v>5.5712050294843315E-4</v>
      </c>
      <c r="J42">
        <f t="shared" ref="J42:K42" si="53">(0.4871*J24+2.7905)*$A$70</f>
        <v>5.5404737948162159E-4</v>
      </c>
      <c r="K42">
        <f t="shared" si="53"/>
        <v>5.5712050294843315E-4</v>
      </c>
      <c r="L42">
        <f>AVERAGE(I42:K42)</f>
        <v>5.5609612845949593E-4</v>
      </c>
      <c r="M42">
        <f>_xlfn.STDEV.S(I42:K42)</f>
        <v>1.7742686608166134E-6</v>
      </c>
      <c r="N42" s="6"/>
      <c r="O42" t="s">
        <v>231</v>
      </c>
      <c r="P42">
        <f>(0.664*P25+2.4222)*$A$70</f>
        <v>8.1051975319499368E-4</v>
      </c>
      <c r="Q42">
        <f t="shared" ref="Q42:R42" si="54">(0.664*Q25+2.4222)*$A$70</f>
        <v>8.1051975319499368E-4</v>
      </c>
      <c r="R42">
        <f t="shared" si="54"/>
        <v>8.1470894223618212E-4</v>
      </c>
      <c r="S42">
        <f>AVERAGE(P42:R42)</f>
        <v>8.1191614954205646E-4</v>
      </c>
      <c r="T42">
        <f>_xlfn.STDEV.S(P42:R42)</f>
        <v>2.4186294206163804E-6</v>
      </c>
      <c r="U42" s="6"/>
      <c r="AB42">
        <f t="shared" si="42"/>
        <v>2.0077371049985131E-6</v>
      </c>
      <c r="AD42">
        <f t="shared" si="43"/>
        <v>2.0077371049985135E-6</v>
      </c>
      <c r="AF42">
        <f t="shared" si="44"/>
        <v>2.7368865483864121E-6</v>
      </c>
    </row>
    <row r="43" spans="1:32">
      <c r="A43" t="s">
        <v>232</v>
      </c>
      <c r="B43">
        <f>(0.4871*B31+2.7905)*$A$70</f>
        <v>3.5122123067205836E-4</v>
      </c>
      <c r="C43">
        <f t="shared" ref="C43:D43" si="55">(0.4871*C31+2.7905)*$A$70</f>
        <v>3.481481072052468E-4</v>
      </c>
      <c r="D43">
        <f t="shared" si="55"/>
        <v>3.4507498373843523E-4</v>
      </c>
      <c r="E43">
        <f t="shared" ref="E43" si="56">AVERAGE(B43:D43)</f>
        <v>3.481481072052468E-4</v>
      </c>
      <c r="F43">
        <f t="shared" ref="F43" si="57">_xlfn.STDEV.S(B43:D43)</f>
        <v>3.0731234668115656E-6</v>
      </c>
      <c r="G43" s="6"/>
      <c r="H43" t="s">
        <v>232</v>
      </c>
      <c r="I43">
        <f>(0.4871*I31+2.7905)*$A$70</f>
        <v>5.8477861414973724E-4</v>
      </c>
      <c r="J43">
        <f t="shared" ref="J43:K43" si="58">(0.4871*J31+2.7905)*$A$70</f>
        <v>5.8170549068292557E-4</v>
      </c>
      <c r="K43">
        <f t="shared" si="58"/>
        <v>5.8477861414973724E-4</v>
      </c>
      <c r="L43">
        <f t="shared" ref="L43" si="59">AVERAGE(I43:K43)</f>
        <v>5.8375423966080002E-4</v>
      </c>
      <c r="M43">
        <f t="shared" ref="M43" si="60">_xlfn.STDEV.S(I43:K43)</f>
        <v>1.7742686608166761E-6</v>
      </c>
      <c r="N43" s="6"/>
      <c r="O43" t="s">
        <v>233</v>
      </c>
      <c r="P43">
        <f>(0.644*P32+2.4222)*$A$70</f>
        <v>8.2321350071136576E-4</v>
      </c>
      <c r="Q43">
        <f t="shared" ref="Q43:R43" si="61">(0.644*Q32+2.4222)*$A$70</f>
        <v>8.1508748341460287E-4</v>
      </c>
      <c r="R43">
        <f t="shared" si="61"/>
        <v>8.1915049206298415E-4</v>
      </c>
      <c r="S43">
        <f t="shared" ref="S43" si="62">AVERAGE(P43:R43)</f>
        <v>8.1915049206298437E-4</v>
      </c>
      <c r="T43">
        <f t="shared" ref="T43" si="63">_xlfn.STDEV.S(P43:R43)</f>
        <v>4.0630086483814409E-6</v>
      </c>
      <c r="U43" s="6"/>
      <c r="AB43">
        <f t="shared" si="42"/>
        <v>3.4775026740986746E-6</v>
      </c>
      <c r="AD43">
        <f t="shared" si="43"/>
        <v>2.0077371049985843E-6</v>
      </c>
      <c r="AF43">
        <f t="shared" si="44"/>
        <v>4.5976426239365465E-6</v>
      </c>
    </row>
    <row r="44" spans="1:32" ht="18.75">
      <c r="A44" s="13" t="s">
        <v>53</v>
      </c>
      <c r="G44" s="6"/>
      <c r="N44" s="6"/>
      <c r="U44" s="6"/>
      <c r="AB44" t="e">
        <f t="shared" si="42"/>
        <v>#NUM!</v>
      </c>
      <c r="AD44" t="e">
        <f t="shared" si="43"/>
        <v>#NUM!</v>
      </c>
      <c r="AF44" t="e">
        <f t="shared" si="44"/>
        <v>#NUM!</v>
      </c>
    </row>
    <row r="45" spans="1:32">
      <c r="A45" t="s">
        <v>160</v>
      </c>
      <c r="B45">
        <f>(B6-B5)*$X$46+$D$72</f>
        <v>62635.524591172209</v>
      </c>
      <c r="C45">
        <f t="shared" ref="C45:D45" si="64">(C6-C5)*$X$46+$D$72</f>
        <v>62635.524591172209</v>
      </c>
      <c r="D45">
        <f t="shared" si="64"/>
        <v>62635.524591172209</v>
      </c>
      <c r="E45">
        <f>AVERAGE(B45:D45)</f>
        <v>62635.524591172209</v>
      </c>
      <c r="F45">
        <f>_xlfn.STDEV.S(B45:D45)</f>
        <v>0</v>
      </c>
      <c r="G45" s="6"/>
      <c r="H45" t="s">
        <v>160</v>
      </c>
      <c r="I45">
        <f>(I6-I5)*$X$46+$D$72</f>
        <v>110898.84459117222</v>
      </c>
      <c r="J45">
        <f t="shared" ref="J45:K45" si="65">(J6-J5)*$X$46+$D$72</f>
        <v>110898.84459117222</v>
      </c>
      <c r="K45">
        <f t="shared" si="65"/>
        <v>110829.89699117222</v>
      </c>
      <c r="L45">
        <f>AVERAGE(I45:K45)</f>
        <v>110875.86205783889</v>
      </c>
      <c r="M45">
        <f>_xlfn.STDEV.S(I45:K45)</f>
        <v>39.80691541997836</v>
      </c>
      <c r="N45" s="6"/>
      <c r="O45" t="s">
        <v>160</v>
      </c>
      <c r="P45">
        <f>(P6-P5)*$X$46+$D$72</f>
        <v>181570.13459117225</v>
      </c>
      <c r="Q45">
        <f t="shared" ref="Q45:R45" si="66">(Q6-Q5)*$X$46+$D$72</f>
        <v>181501.18699117223</v>
      </c>
      <c r="R45">
        <f t="shared" si="66"/>
        <v>181501.18699117223</v>
      </c>
      <c r="S45">
        <f>AVERAGE(P45:R45)</f>
        <v>181524.16952450559</v>
      </c>
      <c r="T45">
        <f>_xlfn.STDEV.S(P45:R45)</f>
        <v>39.806915419986765</v>
      </c>
      <c r="U45" s="6"/>
      <c r="X45" t="s">
        <v>234</v>
      </c>
      <c r="AB45" t="e">
        <f t="shared" si="42"/>
        <v>#NUM!</v>
      </c>
      <c r="AD45">
        <f t="shared" si="43"/>
        <v>45.044937606824284</v>
      </c>
      <c r="AF45">
        <f t="shared" si="44"/>
        <v>45.044937606833798</v>
      </c>
    </row>
    <row r="46" spans="1:32">
      <c r="A46" t="s">
        <v>161</v>
      </c>
      <c r="B46">
        <f>(B13-B12)*$X$46+$D$72</f>
        <v>55051.288591172211</v>
      </c>
      <c r="C46">
        <f t="shared" ref="C46:D46" si="67">(C13-C12)*$X$46+$D$72</f>
        <v>53672.336591172214</v>
      </c>
      <c r="D46">
        <f t="shared" si="67"/>
        <v>53603.388991172214</v>
      </c>
      <c r="E46">
        <f>AVERAGE(B46:D46)</f>
        <v>54109.004724505554</v>
      </c>
      <c r="F46">
        <f>_xlfn.STDEV.S(B46:D46)</f>
        <v>816.76961679634644</v>
      </c>
      <c r="G46" s="6"/>
      <c r="H46" t="s">
        <v>161</v>
      </c>
      <c r="I46">
        <f>(I13-I12)*$X$46+$D$72</f>
        <v>96488.796191172223</v>
      </c>
      <c r="J46">
        <f t="shared" ref="J46:K46" si="68">(J13-J12)*$X$46+$D$72</f>
        <v>96488.796191172223</v>
      </c>
      <c r="K46">
        <f t="shared" si="68"/>
        <v>96488.796191172223</v>
      </c>
      <c r="L46">
        <f>AVERAGE(I46:K46)</f>
        <v>96488.796191172223</v>
      </c>
      <c r="M46">
        <f>_xlfn.STDEV.S(I46:K46)</f>
        <v>0</v>
      </c>
      <c r="N46" s="6"/>
      <c r="O46" t="s">
        <v>161</v>
      </c>
      <c r="P46">
        <f>(P13-P12)*$X$46+$D$72</f>
        <v>161575.33059117221</v>
      </c>
      <c r="Q46">
        <f t="shared" ref="Q46:R46" si="69">(Q13-Q12)*$X$46+$D$72</f>
        <v>161644.27819117223</v>
      </c>
      <c r="R46">
        <f t="shared" si="69"/>
        <v>161575.33059117221</v>
      </c>
      <c r="S46">
        <f>AVERAGE(P46:R46)</f>
        <v>161598.31312450554</v>
      </c>
      <c r="T46">
        <f>_xlfn.STDEV.S(P46:R46)</f>
        <v>39.806915419986765</v>
      </c>
      <c r="U46" s="6"/>
      <c r="W46" t="s">
        <v>180</v>
      </c>
      <c r="X46">
        <v>6894.76</v>
      </c>
      <c r="AB46">
        <f t="shared" si="42"/>
        <v>924.24484639360708</v>
      </c>
      <c r="AD46" t="e">
        <f t="shared" si="43"/>
        <v>#NUM!</v>
      </c>
      <c r="AF46">
        <f t="shared" si="44"/>
        <v>45.044937606833798</v>
      </c>
    </row>
    <row r="47" spans="1:32">
      <c r="A47" t="s">
        <v>162</v>
      </c>
      <c r="B47">
        <f>(B20-B19)*$X$46+$D$72</f>
        <v>49535.480591172207</v>
      </c>
      <c r="C47">
        <f t="shared" ref="C47:D47" si="70">(C20-C19)*$X$46+$D$72</f>
        <v>49466.532991172207</v>
      </c>
      <c r="D47">
        <f t="shared" si="70"/>
        <v>49466.532991172207</v>
      </c>
      <c r="E47">
        <f>AVERAGE(B47:D47)</f>
        <v>49489.515524505543</v>
      </c>
      <c r="F47">
        <f>_xlfn.STDEV.S(B47:D47)</f>
        <v>39.80691541997836</v>
      </c>
      <c r="G47" s="6"/>
      <c r="H47" t="s">
        <v>162</v>
      </c>
      <c r="I47">
        <f>(I20-I19)*$X$46+$D$72</f>
        <v>89594.036191172214</v>
      </c>
      <c r="J47">
        <f t="shared" ref="J47:K47" si="71">(J20-J19)*$X$46+$D$72</f>
        <v>89525.088591172214</v>
      </c>
      <c r="K47">
        <f t="shared" si="71"/>
        <v>89594.036191172214</v>
      </c>
      <c r="L47">
        <f>AVERAGE(I47:K47)</f>
        <v>89571.053657838886</v>
      </c>
      <c r="M47">
        <f>_xlfn.STDEV.S(I47:K47)</f>
        <v>39.80691541997836</v>
      </c>
      <c r="N47" s="6"/>
      <c r="O47" t="s">
        <v>162</v>
      </c>
      <c r="P47">
        <f>(P20-P19)*$X$46+$D$72</f>
        <v>145027.90659117224</v>
      </c>
      <c r="Q47">
        <f t="shared" ref="Q47:R47" si="72">(Q20-Q19)*$X$46+$D$72</f>
        <v>145165.80179117221</v>
      </c>
      <c r="R47">
        <f t="shared" si="72"/>
        <v>145234.74939117223</v>
      </c>
      <c r="S47">
        <f>AVERAGE(P47:R47)</f>
        <v>145142.81925783888</v>
      </c>
      <c r="T47">
        <f>_xlfn.STDEV.S(P47:R47)</f>
        <v>105.31919866183549</v>
      </c>
      <c r="U47" s="6"/>
      <c r="AB47">
        <f t="shared" si="42"/>
        <v>45.044937606824284</v>
      </c>
      <c r="AD47">
        <f t="shared" si="43"/>
        <v>45.044937606824284</v>
      </c>
      <c r="AF47">
        <f t="shared" si="44"/>
        <v>119.17770273006725</v>
      </c>
    </row>
    <row r="48" spans="1:32">
      <c r="A48" t="s">
        <v>163</v>
      </c>
      <c r="B48">
        <f>(B27-B26)*$X$46+$D$72</f>
        <v>55740.764591172214</v>
      </c>
      <c r="C48">
        <f t="shared" ref="C48:D48" si="73">(C27-C26)*$X$46+$D$72</f>
        <v>55740.764591172214</v>
      </c>
      <c r="D48">
        <f t="shared" si="73"/>
        <v>55740.764591172214</v>
      </c>
      <c r="E48">
        <f>AVERAGE(B48:D48)</f>
        <v>55740.764591172214</v>
      </c>
      <c r="F48">
        <f>_xlfn.STDEV.S(B48:D48)</f>
        <v>0</v>
      </c>
      <c r="G48" s="6"/>
      <c r="H48" t="s">
        <v>163</v>
      </c>
      <c r="I48">
        <f>(I27-I26)*$X$46+$D$72</f>
        <v>97109.324591172219</v>
      </c>
      <c r="J48">
        <f t="shared" ref="J48:K48" si="74">(J27-J26)*$X$46+$D$72</f>
        <v>97109.324591172219</v>
      </c>
      <c r="K48">
        <f t="shared" si="74"/>
        <v>97109.324591172219</v>
      </c>
      <c r="L48">
        <f t="shared" ref="L48:L49" si="75">AVERAGE(I48:K48)</f>
        <v>97109.324591172219</v>
      </c>
      <c r="M48">
        <f t="shared" ref="M48:M49" si="76">_xlfn.STDEV.S(I48:K48)</f>
        <v>0</v>
      </c>
      <c r="N48" s="6"/>
      <c r="O48" t="s">
        <v>163</v>
      </c>
      <c r="P48">
        <f>(P27-P26)*$X$46+$D$72</f>
        <v>170745.36139117222</v>
      </c>
      <c r="Q48">
        <f t="shared" ref="Q48:R48" si="77">(Q27-Q26)*$X$46+$D$72</f>
        <v>170745.36139117222</v>
      </c>
      <c r="R48">
        <f t="shared" si="77"/>
        <v>170745.36139117222</v>
      </c>
      <c r="S48">
        <f>AVERAGE(P48:R48)</f>
        <v>170745.36139117222</v>
      </c>
      <c r="T48">
        <f>_xlfn.STDEV.S(P48:R48)</f>
        <v>0</v>
      </c>
      <c r="U48" s="6"/>
      <c r="AB48" t="e">
        <f t="shared" si="42"/>
        <v>#NUM!</v>
      </c>
      <c r="AD48" t="e">
        <f t="shared" si="43"/>
        <v>#NUM!</v>
      </c>
      <c r="AF48" t="e">
        <f t="shared" si="44"/>
        <v>#NUM!</v>
      </c>
    </row>
    <row r="49" spans="1:47">
      <c r="A49" t="s">
        <v>164</v>
      </c>
      <c r="B49">
        <f>(B34-B33)*$X$46+$D$72</f>
        <v>45398.624591172207</v>
      </c>
      <c r="C49">
        <f t="shared" ref="C49:D49" si="78">(C34-C33)*$X$46+$D$72</f>
        <v>45398.624591172207</v>
      </c>
      <c r="D49">
        <f t="shared" si="78"/>
        <v>45398.624591172207</v>
      </c>
      <c r="E49">
        <f>AVERAGE(B49:D49)</f>
        <v>45398.624591172207</v>
      </c>
      <c r="F49">
        <f>_xlfn.STDEV.S(B49:D49)</f>
        <v>0</v>
      </c>
      <c r="G49" s="6"/>
      <c r="H49" t="s">
        <v>164</v>
      </c>
      <c r="I49">
        <f>(I34-I33)*$X$46+$D$72</f>
        <v>80217.162591172222</v>
      </c>
      <c r="J49">
        <f t="shared" ref="J49:K49" si="79">(J34-J33)*$X$46+$D$72</f>
        <v>80217.162591172222</v>
      </c>
      <c r="K49">
        <f t="shared" si="79"/>
        <v>80217.162591172222</v>
      </c>
      <c r="L49">
        <f t="shared" si="75"/>
        <v>80217.162591172222</v>
      </c>
      <c r="M49">
        <f t="shared" si="76"/>
        <v>0</v>
      </c>
      <c r="N49" s="6"/>
      <c r="O49" t="s">
        <v>164</v>
      </c>
      <c r="P49">
        <f>(P34-P33)*$X$46+$D$72</f>
        <v>127446.26859117222</v>
      </c>
      <c r="Q49">
        <f t="shared" ref="Q49:R49" si="80">(Q34-Q33)*$X$46+$D$72</f>
        <v>127446.26859117222</v>
      </c>
      <c r="R49">
        <f t="shared" si="80"/>
        <v>127446.26859117222</v>
      </c>
      <c r="S49">
        <f>AVERAGE(P49:R49)</f>
        <v>127446.26859117222</v>
      </c>
      <c r="T49">
        <f>_xlfn.STDEV.S(P49:R49)</f>
        <v>0</v>
      </c>
      <c r="U49" s="6"/>
      <c r="AB49" t="e">
        <f t="shared" si="42"/>
        <v>#NUM!</v>
      </c>
      <c r="AD49" t="e">
        <f t="shared" si="43"/>
        <v>#NUM!</v>
      </c>
      <c r="AF49" t="e">
        <f t="shared" si="44"/>
        <v>#NUM!</v>
      </c>
    </row>
    <row r="50" spans="1:47">
      <c r="G50" s="6"/>
      <c r="N50" s="6"/>
      <c r="U50" s="6"/>
      <c r="AB50" t="e">
        <f t="shared" si="42"/>
        <v>#NUM!</v>
      </c>
      <c r="AD50" t="e">
        <f t="shared" si="43"/>
        <v>#NUM!</v>
      </c>
      <c r="AF50" t="e">
        <f t="shared" si="44"/>
        <v>#NUM!</v>
      </c>
    </row>
    <row r="51" spans="1:47">
      <c r="A51" s="16" t="s">
        <v>165</v>
      </c>
      <c r="B51" s="16">
        <f>B8*B7*SQRT(3)*0.85</f>
        <v>113.36272535538301</v>
      </c>
      <c r="C51" s="16">
        <f>C8*C7*SQRT(3)*0.85</f>
        <v>111.30158489437602</v>
      </c>
      <c r="D51" s="16">
        <f>D8*D7*SQRT(3)*0.85</f>
        <v>111.30158489437602</v>
      </c>
      <c r="E51" s="16">
        <f t="shared" ref="E51:E60" si="81">AVERAGE(B51:D51)</f>
        <v>111.98863171471169</v>
      </c>
      <c r="F51" s="16">
        <f t="shared" ref="F51:F60" si="82">_xlfn.STDEV.S(B51:D51)</f>
        <v>1.1900000000000124</v>
      </c>
      <c r="G51" s="6"/>
      <c r="H51" s="16" t="s">
        <v>165</v>
      </c>
      <c r="I51" s="16">
        <f>I8*I7*SQRT(3)*0.85</f>
        <v>350.24665405254052</v>
      </c>
      <c r="J51" s="16">
        <f>J8*J7*SQRT(3)*0.85</f>
        <v>357.09258486945652</v>
      </c>
      <c r="K51" s="16">
        <f>K8*K7*SQRT(3)*0.85</f>
        <v>357.09258486945652</v>
      </c>
      <c r="L51" s="16">
        <f t="shared" ref="L51:L60" si="83">AVERAGE(I51:K51)</f>
        <v>354.81060793048454</v>
      </c>
      <c r="M51" s="16">
        <f t="shared" ref="M51:M60" si="84">_xlfn.STDEV.S(I51:K51)</f>
        <v>3.9525000000000046</v>
      </c>
      <c r="N51" s="6"/>
      <c r="O51" s="16" t="s">
        <v>165</v>
      </c>
      <c r="P51" s="16">
        <f>P8*P7*SQRT(3)*0.85</f>
        <v>797.66135840969514</v>
      </c>
      <c r="Q51" s="16">
        <f>Q8*Q7*SQRT(3)*0.85</f>
        <v>797.66135840969514</v>
      </c>
      <c r="R51" s="16">
        <f>R8*R7*SQRT(3)*0.85</f>
        <v>797.66135840969514</v>
      </c>
      <c r="S51" s="16">
        <f t="shared" ref="S51:S60" si="85">AVERAGE(P51:R51)</f>
        <v>797.66135840969525</v>
      </c>
      <c r="T51" s="16">
        <f t="shared" ref="T51:T60" si="86">_xlfn.STDEV.S(P51:R51)</f>
        <v>1.3923737144427707E-13</v>
      </c>
      <c r="U51" s="6"/>
      <c r="AB51">
        <f t="shared" si="42"/>
        <v>1.3465870235506583</v>
      </c>
      <c r="AD51">
        <f t="shared" si="43"/>
        <v>4.4725926139360732</v>
      </c>
      <c r="AF51">
        <f t="shared" si="44"/>
        <v>1.5755902317660881E-13</v>
      </c>
    </row>
    <row r="52" spans="1:47">
      <c r="A52" s="16" t="s">
        <v>166</v>
      </c>
      <c r="B52" s="16">
        <f>B39*B45</f>
        <v>19.111625523543722</v>
      </c>
      <c r="C52" s="16">
        <f>C39*C45</f>
        <v>18.919138823066536</v>
      </c>
      <c r="D52" s="16">
        <f>D39*D45</f>
        <v>18.919138823066536</v>
      </c>
      <c r="E52" s="16">
        <f t="shared" si="81"/>
        <v>18.983301056558929</v>
      </c>
      <c r="F52" s="16">
        <f t="shared" si="82"/>
        <v>0.11113224833592632</v>
      </c>
      <c r="G52" s="6"/>
      <c r="H52" s="16" t="s">
        <v>166</v>
      </c>
      <c r="I52" s="16">
        <f>I39*I45</f>
        <v>59.739185024501474</v>
      </c>
      <c r="J52" s="16">
        <f>J39*J45</f>
        <v>59.057573340990622</v>
      </c>
      <c r="K52" s="16">
        <f>K39*K45</f>
        <v>59.020856295301854</v>
      </c>
      <c r="L52" s="16">
        <f t="shared" si="83"/>
        <v>59.272538220264643</v>
      </c>
      <c r="M52" s="16">
        <f t="shared" si="84"/>
        <v>0.40454476302302828</v>
      </c>
      <c r="N52" s="6"/>
      <c r="O52" s="16" t="s">
        <v>166</v>
      </c>
      <c r="P52" s="16">
        <f>P39*P45</f>
        <v>146.35342746407406</v>
      </c>
      <c r="Q52" s="16">
        <f>Q39*Q45</f>
        <v>147.41340381298761</v>
      </c>
      <c r="R52" s="16">
        <f>R39*R45</f>
        <v>146.29785269899418</v>
      </c>
      <c r="S52" s="16">
        <f t="shared" si="85"/>
        <v>146.68822799201862</v>
      </c>
      <c r="T52" s="16">
        <f t="shared" si="86"/>
        <v>0.62863512240167008</v>
      </c>
      <c r="U52" s="6"/>
      <c r="AB52">
        <f t="shared" si="42"/>
        <v>0.12575566681274458</v>
      </c>
      <c r="AD52">
        <f t="shared" si="43"/>
        <v>0.45777708263208433</v>
      </c>
      <c r="AF52">
        <f t="shared" si="44"/>
        <v>0.71135453644895785</v>
      </c>
    </row>
    <row r="53" spans="1:47">
      <c r="A53" s="16" t="s">
        <v>167</v>
      </c>
      <c r="B53" s="16">
        <f>B14*B15*SQRT(3)*0.85</f>
        <v>102.99813332289087</v>
      </c>
      <c r="C53" s="16">
        <f>C14*C15*SQRT(3)*0.85</f>
        <v>102.99813332289087</v>
      </c>
      <c r="D53" s="16">
        <f>D14*D15*SQRT(3)*0.85</f>
        <v>102.99813332289087</v>
      </c>
      <c r="E53" s="16">
        <f t="shared" si="81"/>
        <v>102.99813332289087</v>
      </c>
      <c r="F53" s="16">
        <f t="shared" si="82"/>
        <v>0</v>
      </c>
      <c r="G53" s="6"/>
      <c r="H53" s="16" t="s">
        <v>167</v>
      </c>
      <c r="I53" s="16">
        <f>I14*I15*SQRT(3)*0.85</f>
        <v>358.85927669317675</v>
      </c>
      <c r="J53" s="16">
        <f t="shared" ref="J53:K53" si="87">J14*J15*SQRT(3)*0.85</f>
        <v>358.85927669317675</v>
      </c>
      <c r="K53" s="16">
        <f t="shared" si="87"/>
        <v>358.85927669317675</v>
      </c>
      <c r="L53" s="16">
        <f t="shared" si="83"/>
        <v>358.85927669317675</v>
      </c>
      <c r="M53" s="16">
        <f t="shared" si="84"/>
        <v>0</v>
      </c>
      <c r="N53" s="6"/>
      <c r="O53" s="16" t="s">
        <v>167</v>
      </c>
      <c r="P53" s="16">
        <f>P14*P15*SQRT(3)*0.85</f>
        <v>779.1110942606324</v>
      </c>
      <c r="Q53" s="16">
        <f t="shared" ref="Q53:R53" si="88">Q14*Q15*SQRT(3)*0.85</f>
        <v>779.1110942606324</v>
      </c>
      <c r="R53" s="16">
        <f t="shared" si="88"/>
        <v>779.1110942606324</v>
      </c>
      <c r="S53" s="16">
        <f t="shared" si="85"/>
        <v>779.1110942606324</v>
      </c>
      <c r="T53" s="16">
        <f t="shared" si="86"/>
        <v>0</v>
      </c>
      <c r="U53" s="6"/>
      <c r="AB53" t="e">
        <f t="shared" si="42"/>
        <v>#NUM!</v>
      </c>
      <c r="AD53" t="e">
        <f t="shared" si="43"/>
        <v>#NUM!</v>
      </c>
      <c r="AF53" t="e">
        <f t="shared" si="44"/>
        <v>#NUM!</v>
      </c>
    </row>
    <row r="54" spans="1:47">
      <c r="A54" s="16" t="s">
        <v>168</v>
      </c>
      <c r="B54" s="16">
        <f>B40*B46</f>
        <v>18.489284294835418</v>
      </c>
      <c r="C54" s="16">
        <f>C40*C46</f>
        <v>17.861213808014814</v>
      </c>
      <c r="D54" s="16">
        <f>D40*D46</f>
        <v>18.002999086625572</v>
      </c>
      <c r="E54" s="16">
        <f t="shared" si="81"/>
        <v>18.117832396491934</v>
      </c>
      <c r="F54" s="16">
        <f t="shared" si="82"/>
        <v>0.32940575419217527</v>
      </c>
      <c r="G54" s="6"/>
      <c r="H54" s="16" t="s">
        <v>168</v>
      </c>
      <c r="I54" s="16">
        <f>I40*I46</f>
        <v>55.535018566071656</v>
      </c>
      <c r="J54" s="16">
        <f>J40*J46</f>
        <v>55.238496582212171</v>
      </c>
      <c r="K54" s="16">
        <f>K40*K46</f>
        <v>55.535018566071656</v>
      </c>
      <c r="L54" s="16">
        <f t="shared" si="83"/>
        <v>55.436177904785154</v>
      </c>
      <c r="M54" s="16">
        <f t="shared" si="84"/>
        <v>0.17119704720191542</v>
      </c>
      <c r="N54" s="6"/>
      <c r="O54" s="16" t="s">
        <v>168</v>
      </c>
      <c r="P54" s="16">
        <f>P40*P46</f>
        <v>131.63686667739535</v>
      </c>
      <c r="Q54" s="16">
        <f>Q40*Q46</f>
        <v>132.37019734243037</v>
      </c>
      <c r="R54" s="16">
        <f>R40*R46</f>
        <v>132.31373628163431</v>
      </c>
      <c r="S54" s="16">
        <f t="shared" si="85"/>
        <v>132.10693343382002</v>
      </c>
      <c r="T54" s="16">
        <f t="shared" si="86"/>
        <v>0.40806743250136512</v>
      </c>
      <c r="U54" s="6"/>
      <c r="AB54">
        <f t="shared" si="42"/>
        <v>0.37275085216646758</v>
      </c>
      <c r="AD54">
        <f t="shared" si="43"/>
        <v>0.19372413632965244</v>
      </c>
      <c r="AF54">
        <f t="shared" si="44"/>
        <v>0.46176328515963583</v>
      </c>
    </row>
    <row r="55" spans="1:47">
      <c r="A55" s="16" t="s">
        <v>169</v>
      </c>
      <c r="B55" s="16">
        <f>B21*B22*SQRT(3)*0.85</f>
        <v>101.43755554527129</v>
      </c>
      <c r="C55" s="16">
        <f>C21*C22*SQRT(3)*0.85</f>
        <v>101.43755554527129</v>
      </c>
      <c r="D55" s="16">
        <f>D21*D22*SQRT(3)*0.85</f>
        <v>101.43755554527129</v>
      </c>
      <c r="E55" s="16">
        <f t="shared" si="81"/>
        <v>101.43755554527131</v>
      </c>
      <c r="F55" s="16">
        <f t="shared" si="82"/>
        <v>1.7404671430534633E-14</v>
      </c>
      <c r="G55" s="6"/>
      <c r="H55" s="16" t="s">
        <v>169</v>
      </c>
      <c r="I55" s="16">
        <f>I21*I22*SQRT(3)*0.85</f>
        <v>355.9884024796313</v>
      </c>
      <c r="J55" s="16">
        <f t="shared" ref="J55:K55" si="89">J21*J22*SQRT(3)*0.85</f>
        <v>355.9884024796313</v>
      </c>
      <c r="K55" s="16">
        <f t="shared" si="89"/>
        <v>355.9884024796313</v>
      </c>
      <c r="L55" s="16">
        <f t="shared" si="83"/>
        <v>355.9884024796313</v>
      </c>
      <c r="M55" s="16">
        <f t="shared" si="84"/>
        <v>0</v>
      </c>
      <c r="N55" s="6"/>
      <c r="O55" s="16" t="s">
        <v>169</v>
      </c>
      <c r="P55" s="16">
        <f>P21*P22*SQRT(3)*0.85</f>
        <v>786.53119992025734</v>
      </c>
      <c r="Q55" s="16">
        <f t="shared" ref="Q55:R55" si="90">Q21*Q22*SQRT(3)*0.85</f>
        <v>786.53119992025734</v>
      </c>
      <c r="R55" s="16">
        <f t="shared" si="90"/>
        <v>786.53119992025734</v>
      </c>
      <c r="S55" s="16">
        <f t="shared" si="85"/>
        <v>786.53119992025734</v>
      </c>
      <c r="T55" s="16">
        <f t="shared" si="86"/>
        <v>0</v>
      </c>
      <c r="U55" s="6"/>
      <c r="AB55">
        <f t="shared" si="42"/>
        <v>1.9694877897076101E-14</v>
      </c>
      <c r="AD55" t="e">
        <f t="shared" si="43"/>
        <v>#NUM!</v>
      </c>
      <c r="AF55" t="e">
        <f t="shared" si="44"/>
        <v>#NUM!</v>
      </c>
    </row>
    <row r="56" spans="1:47">
      <c r="A56" s="16" t="s">
        <v>170</v>
      </c>
      <c r="B56" s="16">
        <f>B41*B47</f>
        <v>16.636769215940767</v>
      </c>
      <c r="C56" s="16">
        <f>C41*C47</f>
        <v>16.613612777454584</v>
      </c>
      <c r="D56" s="16">
        <f>D41*D47</f>
        <v>16.461596014097601</v>
      </c>
      <c r="E56" s="16">
        <f t="shared" si="81"/>
        <v>16.570659335830985</v>
      </c>
      <c r="F56" s="16">
        <f t="shared" si="82"/>
        <v>9.5158611126269568E-2</v>
      </c>
      <c r="G56" s="6"/>
      <c r="H56" s="16" t="s">
        <v>170</v>
      </c>
      <c r="I56" s="16">
        <f>I41*I47</f>
        <v>51.29134217953326</v>
      </c>
      <c r="J56" s="16">
        <f>J41*J47</f>
        <v>51.802113936742302</v>
      </c>
      <c r="K56" s="16">
        <f>K41*K47</f>
        <v>51.566675714638713</v>
      </c>
      <c r="L56" s="16">
        <f t="shared" si="83"/>
        <v>51.553377276971425</v>
      </c>
      <c r="M56" s="16">
        <f t="shared" si="84"/>
        <v>0.2556454250009107</v>
      </c>
      <c r="N56" s="6"/>
      <c r="O56" s="16" t="s">
        <v>170</v>
      </c>
      <c r="P56" s="16">
        <f>P41*P47</f>
        <v>119.37063100753825</v>
      </c>
      <c r="Q56" s="16">
        <f>Q41*Q47</f>
        <v>120.09225778420992</v>
      </c>
      <c r="R56" s="16">
        <f>R41*R47</f>
        <v>120.14929651406666</v>
      </c>
      <c r="S56" s="16">
        <f t="shared" si="85"/>
        <v>119.8707284352716</v>
      </c>
      <c r="T56" s="16">
        <f t="shared" si="86"/>
        <v>0.43403505860133063</v>
      </c>
      <c r="U56" s="6"/>
      <c r="AB56">
        <f t="shared" si="42"/>
        <v>0.10768012682498869</v>
      </c>
      <c r="AD56">
        <f t="shared" si="43"/>
        <v>0.28928471591287042</v>
      </c>
      <c r="AF56">
        <f t="shared" si="44"/>
        <v>0.49114788040218088</v>
      </c>
    </row>
    <row r="57" spans="1:47">
      <c r="A57" s="16" t="s">
        <v>171</v>
      </c>
      <c r="B57" s="16">
        <f>B28*B29*SQRT(3)*0.85</f>
        <v>106.88485533507543</v>
      </c>
      <c r="C57" s="16">
        <f>C28*C29*SQRT(3)*0.85</f>
        <v>106.88485533507543</v>
      </c>
      <c r="D57" s="16">
        <f>D28*D29*SQRT(3)*0.85</f>
        <v>106.88485533507543</v>
      </c>
      <c r="E57" s="16">
        <f t="shared" si="81"/>
        <v>106.88485533507543</v>
      </c>
      <c r="F57" s="16">
        <f t="shared" si="82"/>
        <v>0</v>
      </c>
      <c r="G57" s="6"/>
      <c r="H57" s="16" t="s">
        <v>171</v>
      </c>
      <c r="I57" s="16">
        <f>I29*I28*SQRT(3)*0.85</f>
        <v>353.11752826608586</v>
      </c>
      <c r="J57" s="16">
        <f t="shared" ref="J57:K57" si="91">J29*J28*SQRT(3)*0.85</f>
        <v>353.11752826608586</v>
      </c>
      <c r="K57" s="16">
        <f t="shared" si="91"/>
        <v>353.11752826608586</v>
      </c>
      <c r="L57" s="16">
        <f t="shared" si="83"/>
        <v>353.11752826608586</v>
      </c>
      <c r="M57" s="16">
        <f t="shared" si="84"/>
        <v>0</v>
      </c>
      <c r="N57" s="6"/>
      <c r="O57" s="16" t="s">
        <v>171</v>
      </c>
      <c r="P57" s="16">
        <f>P28*P29*SQRT(3)*0.85</f>
        <v>795.89466658597462</v>
      </c>
      <c r="Q57" s="16">
        <f t="shared" ref="Q57:R57" si="92">Q28*Q29*SQRT(3)*0.85</f>
        <v>795.89466658597462</v>
      </c>
      <c r="R57" s="16">
        <f t="shared" si="92"/>
        <v>795.89466658597462</v>
      </c>
      <c r="S57" s="16">
        <f t="shared" si="85"/>
        <v>795.89466658597451</v>
      </c>
      <c r="T57" s="16">
        <f t="shared" si="86"/>
        <v>1.3923737144427707E-13</v>
      </c>
      <c r="U57" s="6"/>
      <c r="AB57" t="e">
        <f t="shared" si="42"/>
        <v>#NUM!</v>
      </c>
      <c r="AD57" t="e">
        <f t="shared" si="43"/>
        <v>#NUM!</v>
      </c>
      <c r="AF57">
        <f t="shared" si="44"/>
        <v>1.5755902317660881E-13</v>
      </c>
    </row>
    <row r="58" spans="1:47">
      <c r="A58" s="16" t="s">
        <v>172</v>
      </c>
      <c r="B58" s="16">
        <f>B42*B48</f>
        <v>18.37825217625095</v>
      </c>
      <c r="C58" s="16">
        <f>C42*C48</f>
        <v>18.37825217625095</v>
      </c>
      <c r="D58" s="16">
        <f>D42*D48</f>
        <v>18.206953924527799</v>
      </c>
      <c r="E58" s="16">
        <f t="shared" si="81"/>
        <v>18.321152759009902</v>
      </c>
      <c r="F58" s="16">
        <f t="shared" si="82"/>
        <v>9.8899091744073464E-2</v>
      </c>
      <c r="G58" s="6"/>
      <c r="H58" s="16" t="s">
        <v>172</v>
      </c>
      <c r="I58" s="16">
        <f>I42*I48</f>
        <v>54.101595757216515</v>
      </c>
      <c r="J58" s="16">
        <f>J42*J48</f>
        <v>53.80316681296916</v>
      </c>
      <c r="K58" s="16">
        <f>K42*K48</f>
        <v>54.101595757216515</v>
      </c>
      <c r="L58" s="16">
        <f t="shared" si="83"/>
        <v>54.002119442467404</v>
      </c>
      <c r="M58" s="16">
        <f t="shared" si="84"/>
        <v>0.17229803129518642</v>
      </c>
      <c r="N58" s="6"/>
      <c r="O58" s="16" t="s">
        <v>172</v>
      </c>
      <c r="P58" s="16">
        <f>P42*P48</f>
        <v>138.3924881739629</v>
      </c>
      <c r="Q58" s="16">
        <f>Q42*Q48</f>
        <v>138.3924881739629</v>
      </c>
      <c r="R58" s="16">
        <f>R42*R48</f>
        <v>139.10777277073657</v>
      </c>
      <c r="S58" s="16">
        <f t="shared" si="85"/>
        <v>138.63091637288747</v>
      </c>
      <c r="T58" s="16">
        <f t="shared" si="86"/>
        <v>0.41296975449447187</v>
      </c>
      <c r="U58" s="6"/>
      <c r="AB58">
        <f t="shared" si="42"/>
        <v>0.111912801330684</v>
      </c>
      <c r="AD58">
        <f t="shared" si="43"/>
        <v>0.19496999422304268</v>
      </c>
      <c r="AF58">
        <f t="shared" si="44"/>
        <v>0.46731068279088328</v>
      </c>
    </row>
    <row r="59" spans="1:47">
      <c r="A59" s="16" t="s">
        <v>173</v>
      </c>
      <c r="B59" s="16">
        <f>B35*B36*SQRT(3)*0.85</f>
        <v>105.26538782999852</v>
      </c>
      <c r="C59" s="16">
        <f>C35*C36*SQRT(3)*0.85</f>
        <v>105.26538782999852</v>
      </c>
      <c r="D59" s="16">
        <f>D35*D36*SQRT(3)*0.85</f>
        <v>105.26538782999852</v>
      </c>
      <c r="E59" s="16">
        <f t="shared" si="81"/>
        <v>105.26538782999852</v>
      </c>
      <c r="F59" s="16">
        <f t="shared" si="82"/>
        <v>0</v>
      </c>
      <c r="G59" s="6"/>
      <c r="H59" s="16" t="s">
        <v>173</v>
      </c>
      <c r="I59" s="16">
        <f>I35*I36*SQRT(3)*0.85</f>
        <v>351.49806076100901</v>
      </c>
      <c r="J59" s="16">
        <f t="shared" ref="J59:K59" si="93">J35*J36*SQRT(3)*0.85</f>
        <v>348.68607627492094</v>
      </c>
      <c r="K59" s="16">
        <f t="shared" si="93"/>
        <v>348.68607627492094</v>
      </c>
      <c r="L59" s="16">
        <f t="shared" si="83"/>
        <v>349.6234044369503</v>
      </c>
      <c r="M59" s="16">
        <f t="shared" si="84"/>
        <v>1.6235000000000037</v>
      </c>
      <c r="N59" s="6"/>
      <c r="O59" s="16" t="s">
        <v>173</v>
      </c>
      <c r="P59" s="16">
        <f>P35*P36*SQRT(3)*0.85</f>
        <v>772.92767287761137</v>
      </c>
      <c r="Q59" s="16">
        <f t="shared" ref="Q59:R59" si="94">Q35*Q36*SQRT(3)*0.85</f>
        <v>776.6082808436953</v>
      </c>
      <c r="R59" s="16">
        <f t="shared" si="94"/>
        <v>776.6082808436953</v>
      </c>
      <c r="S59" s="16">
        <f t="shared" si="85"/>
        <v>775.38141152166736</v>
      </c>
      <c r="T59" s="16">
        <f t="shared" si="86"/>
        <v>2.1250000000000355</v>
      </c>
      <c r="U59" s="6"/>
      <c r="AB59" t="e">
        <f t="shared" si="42"/>
        <v>#NUM!</v>
      </c>
      <c r="AD59">
        <f t="shared" si="43"/>
        <v>1.8371294392726687</v>
      </c>
      <c r="AF59">
        <f t="shared" si="44"/>
        <v>2.4046196849119048</v>
      </c>
    </row>
    <row r="60" spans="1:47">
      <c r="A60" s="16" t="s">
        <v>174</v>
      </c>
      <c r="B60" s="16">
        <f>B43*B49</f>
        <v>15.944960799730275</v>
      </c>
      <c r="C60" s="16">
        <f>C43*C49</f>
        <v>15.805445221138175</v>
      </c>
      <c r="D60" s="16">
        <f>D43*D49</f>
        <v>15.665929642546075</v>
      </c>
      <c r="E60" s="16">
        <f t="shared" si="81"/>
        <v>15.805445221138177</v>
      </c>
      <c r="F60" s="16">
        <f t="shared" si="82"/>
        <v>0.13951557859209984</v>
      </c>
      <c r="G60" s="6"/>
      <c r="H60" s="16" t="s">
        <v>174</v>
      </c>
      <c r="I60" s="16">
        <f>I43*I49</f>
        <v>46.909281171089837</v>
      </c>
      <c r="J60" s="16">
        <f>J43*J49</f>
        <v>46.662763926289855</v>
      </c>
      <c r="K60" s="16">
        <f>K43*K49</f>
        <v>46.909281171089837</v>
      </c>
      <c r="L60" s="16">
        <f t="shared" si="83"/>
        <v>46.827108756156512</v>
      </c>
      <c r="M60" s="16">
        <f t="shared" si="84"/>
        <v>0.14232679764515446</v>
      </c>
      <c r="N60" s="6"/>
      <c r="O60" s="16" t="s">
        <v>174</v>
      </c>
      <c r="P60" s="16">
        <f>P43*P49</f>
        <v>104.91548891953987</v>
      </c>
      <c r="Q60" s="16">
        <f>Q43*Q49</f>
        <v>103.8798583365601</v>
      </c>
      <c r="R60" s="16">
        <f>R43*R49</f>
        <v>104.39767362804997</v>
      </c>
      <c r="S60" s="16">
        <f t="shared" si="85"/>
        <v>104.39767362804999</v>
      </c>
      <c r="T60" s="16">
        <f t="shared" si="86"/>
        <v>0.5178152914898817</v>
      </c>
      <c r="U60" s="6"/>
      <c r="AB60">
        <f t="shared" si="42"/>
        <v>0.15787383841620309</v>
      </c>
      <c r="AD60">
        <f t="shared" si="43"/>
        <v>0.16105497379200284</v>
      </c>
      <c r="AF60">
        <f t="shared" si="44"/>
        <v>0.58595239673644461</v>
      </c>
    </row>
    <row r="61" spans="1:47">
      <c r="G61" s="6"/>
      <c r="N61" s="6"/>
      <c r="U61" s="6"/>
      <c r="AB61" t="e">
        <f t="shared" si="42"/>
        <v>#NUM!</v>
      </c>
      <c r="AD61" t="e">
        <f t="shared" si="43"/>
        <v>#NUM!</v>
      </c>
      <c r="AF61" t="e">
        <f t="shared" si="44"/>
        <v>#NUM!</v>
      </c>
    </row>
    <row r="62" spans="1:47">
      <c r="A62" t="s">
        <v>69</v>
      </c>
      <c r="B62">
        <f>B52/B51</f>
        <v>0.16858826800105869</v>
      </c>
      <c r="C62">
        <f t="shared" ref="C62:D62" si="95">C52/C51</f>
        <v>0.16998085733478629</v>
      </c>
      <c r="D62">
        <f t="shared" si="95"/>
        <v>0.16998085733478629</v>
      </c>
      <c r="E62">
        <f>AVERAGE(B62:D62)</f>
        <v>0.16951666089021042</v>
      </c>
      <c r="F62">
        <f>_xlfn.STDEV.S(B62:D62)</f>
        <v>8.0401182669823188E-4</v>
      </c>
      <c r="G62" s="6"/>
      <c r="H62" t="s">
        <v>69</v>
      </c>
      <c r="I62">
        <f>I52/I51</f>
        <v>0.17056318549595623</v>
      </c>
      <c r="J62">
        <f t="shared" ref="J62:K62" si="96">J52/J51</f>
        <v>0.16538448526614041</v>
      </c>
      <c r="K62">
        <f t="shared" si="96"/>
        <v>0.16528166306471556</v>
      </c>
      <c r="L62">
        <f>AVERAGE(I62:K62)</f>
        <v>0.16707644460893742</v>
      </c>
      <c r="M62">
        <f>_xlfn.STDEV.S(I62:K62)</f>
        <v>3.0200438094807641E-3</v>
      </c>
      <c r="N62" s="6"/>
      <c r="O62" t="s">
        <v>69</v>
      </c>
      <c r="P62">
        <f>P52/P51</f>
        <v>0.18347814636007972</v>
      </c>
      <c r="Q62">
        <f t="shared" ref="Q62:R62" si="97">Q52/Q51</f>
        <v>0.1848070014409211</v>
      </c>
      <c r="R62">
        <f t="shared" si="97"/>
        <v>0.18340847423105661</v>
      </c>
      <c r="S62">
        <f>AVERAGE(P62:R62)</f>
        <v>0.1838978740106858</v>
      </c>
      <c r="T62">
        <f>_xlfn.STDEV.S(P62:R62)</f>
        <v>7.8809775072342578E-4</v>
      </c>
      <c r="U62" s="6"/>
      <c r="AB62">
        <f t="shared" si="42"/>
        <v>9.0980831312024231E-4</v>
      </c>
      <c r="AD62">
        <f t="shared" si="43"/>
        <v>3.417438491093488E-3</v>
      </c>
      <c r="AF62">
        <f t="shared" si="44"/>
        <v>8.9180017177614734E-4</v>
      </c>
    </row>
    <row r="63" spans="1:47">
      <c r="A63" t="s">
        <v>70</v>
      </c>
      <c r="B63">
        <f>B54/B53</f>
        <v>0.17951086780255521</v>
      </c>
      <c r="C63">
        <f t="shared" ref="C63:D63" si="98">C54/C53</f>
        <v>0.17341298557345058</v>
      </c>
      <c r="D63">
        <f t="shared" si="98"/>
        <v>0.17478956662435441</v>
      </c>
      <c r="E63">
        <f t="shared" ref="E63:E66" si="99">AVERAGE(B63:D63)</f>
        <v>0.17590447333345338</v>
      </c>
      <c r="F63">
        <f t="shared" ref="F63:F66" si="100">_xlfn.STDEV.S(B63:D63)</f>
        <v>3.1981720790950179E-3</v>
      </c>
      <c r="G63" s="6"/>
      <c r="H63" t="s">
        <v>70</v>
      </c>
      <c r="I63">
        <f>I54/I53</f>
        <v>0.15475430669597509</v>
      </c>
      <c r="J63">
        <f t="shared" ref="J63:K63" si="101">J54/J53</f>
        <v>0.15392801627207442</v>
      </c>
      <c r="K63">
        <f t="shared" si="101"/>
        <v>0.15475430669597509</v>
      </c>
      <c r="L63">
        <f t="shared" ref="L63:L66" si="102">AVERAGE(I63:K63)</f>
        <v>0.15447887655467488</v>
      </c>
      <c r="M63">
        <f t="shared" ref="M63:M66" si="103">_xlfn.STDEV.S(I63:K63)</f>
        <v>4.7705899866786286E-4</v>
      </c>
      <c r="N63" s="6"/>
      <c r="O63" t="s">
        <v>70</v>
      </c>
      <c r="P63">
        <f>P54/P53</f>
        <v>0.16895776179688116</v>
      </c>
      <c r="Q63">
        <f t="shared" ref="Q63:R63" si="104">Q54/Q53</f>
        <v>0.16989900197487007</v>
      </c>
      <c r="R63">
        <f t="shared" si="104"/>
        <v>0.16982653341266887</v>
      </c>
      <c r="S63">
        <f t="shared" ref="S63:S66" si="105">AVERAGE(P63:R63)</f>
        <v>0.16956109906147335</v>
      </c>
      <c r="T63">
        <f t="shared" ref="T63:T66" si="106">_xlfn.STDEV.S(P63:R63)</f>
        <v>5.2376026411048431E-4</v>
      </c>
      <c r="U63" s="6"/>
      <c r="AB63">
        <f t="shared" si="42"/>
        <v>3.6190058998246516E-3</v>
      </c>
      <c r="AD63">
        <f t="shared" si="43"/>
        <v>5.3983315720521692E-4</v>
      </c>
      <c r="AF63">
        <f t="shared" si="44"/>
        <v>5.9267964294339181E-4</v>
      </c>
      <c r="AO63" t="s">
        <v>102</v>
      </c>
      <c r="AP63" t="s">
        <v>103</v>
      </c>
      <c r="AQ63" t="s">
        <v>235</v>
      </c>
      <c r="AR63" t="s">
        <v>236</v>
      </c>
      <c r="AT63" t="s">
        <v>237</v>
      </c>
      <c r="AU63" t="s">
        <v>238</v>
      </c>
    </row>
    <row r="64" spans="1:47">
      <c r="A64" t="s">
        <v>71</v>
      </c>
      <c r="B64">
        <f>B56/B55</f>
        <v>0.16400995791460909</v>
      </c>
      <c r="C64">
        <f t="shared" ref="C64:D64" si="107">C56/C55</f>
        <v>0.16378167522027851</v>
      </c>
      <c r="D64">
        <f t="shared" si="107"/>
        <v>0.16228305114027355</v>
      </c>
      <c r="E64">
        <f t="shared" si="99"/>
        <v>0.16335822809172038</v>
      </c>
      <c r="F64">
        <f t="shared" si="100"/>
        <v>9.3810039698562307E-4</v>
      </c>
      <c r="G64" s="6"/>
      <c r="H64" t="s">
        <v>71</v>
      </c>
      <c r="I64">
        <f>I56/I55</f>
        <v>0.14408149766190209</v>
      </c>
      <c r="J64">
        <f t="shared" ref="J64:K64" si="108">J56/J55</f>
        <v>0.1455162965307733</v>
      </c>
      <c r="K64">
        <f t="shared" si="108"/>
        <v>0.14485493166477303</v>
      </c>
      <c r="L64">
        <f t="shared" si="102"/>
        <v>0.14481757528581615</v>
      </c>
      <c r="M64">
        <f t="shared" si="103"/>
        <v>7.1812852109849081E-4</v>
      </c>
      <c r="N64" s="6"/>
      <c r="O64" t="s">
        <v>71</v>
      </c>
      <c r="P64">
        <f>P56/P55</f>
        <v>0.15176846261107083</v>
      </c>
      <c r="Q64">
        <f t="shared" ref="Q64:R64" si="109">Q56/Q55</f>
        <v>0.15268594277809386</v>
      </c>
      <c r="R64">
        <f t="shared" si="109"/>
        <v>0.15275846212616617</v>
      </c>
      <c r="S64">
        <f t="shared" si="105"/>
        <v>0.15240428917177695</v>
      </c>
      <c r="T64">
        <f t="shared" si="106"/>
        <v>5.518345091019086E-4</v>
      </c>
      <c r="U64" s="6"/>
      <c r="AB64">
        <f t="shared" si="42"/>
        <v>1.0615410263601242E-3</v>
      </c>
      <c r="AD64">
        <f t="shared" si="43"/>
        <v>8.1262398970827123E-4</v>
      </c>
      <c r="AF64">
        <f t="shared" si="44"/>
        <v>6.2444805807064703E-4</v>
      </c>
      <c r="AN64" t="s">
        <v>239</v>
      </c>
      <c r="AO64">
        <v>0.05</v>
      </c>
      <c r="AP64">
        <v>2.5</v>
      </c>
      <c r="AQ64" s="15">
        <v>1.25</v>
      </c>
      <c r="AR64">
        <v>1</v>
      </c>
      <c r="AS64" t="s">
        <v>240</v>
      </c>
      <c r="AT64">
        <v>0.5</v>
      </c>
      <c r="AU64">
        <v>0.05</v>
      </c>
    </row>
    <row r="65" spans="1:40">
      <c r="A65" t="s">
        <v>72</v>
      </c>
      <c r="B65">
        <f>B58/B57</f>
        <v>0.17194439865813174</v>
      </c>
      <c r="C65">
        <f t="shared" ref="C65:D65" si="110">C58/C57</f>
        <v>0.17194439865813174</v>
      </c>
      <c r="D65">
        <f t="shared" si="110"/>
        <v>0.17034175578430136</v>
      </c>
      <c r="E65">
        <f t="shared" si="99"/>
        <v>0.17141018436685496</v>
      </c>
      <c r="F65">
        <f t="shared" si="100"/>
        <v>9.2528629462080788E-4</v>
      </c>
      <c r="G65" s="6"/>
      <c r="H65" t="s">
        <v>72</v>
      </c>
      <c r="I65">
        <f>I58/I57</f>
        <v>0.15321130056293653</v>
      </c>
      <c r="J65">
        <f t="shared" ref="J65:K65" si="111">J58/J57</f>
        <v>0.15236617416631518</v>
      </c>
      <c r="K65">
        <f t="shared" si="111"/>
        <v>0.15321130056293653</v>
      </c>
      <c r="L65">
        <f t="shared" si="102"/>
        <v>0.15292959176406273</v>
      </c>
      <c r="M65">
        <f t="shared" si="103"/>
        <v>4.8793395258859396E-4</v>
      </c>
      <c r="N65" s="6"/>
      <c r="O65" t="s">
        <v>72</v>
      </c>
      <c r="P65">
        <f>P58/P57</f>
        <v>0.1738829194164645</v>
      </c>
      <c r="Q65">
        <f t="shared" ref="Q65:R65" si="112">Q58/Q57</f>
        <v>0.1738829194164645</v>
      </c>
      <c r="R65">
        <f t="shared" si="112"/>
        <v>0.17478163708200925</v>
      </c>
      <c r="S65">
        <f t="shared" si="105"/>
        <v>0.17418249197164606</v>
      </c>
      <c r="T65">
        <f t="shared" si="106"/>
        <v>5.1887488612773435E-4</v>
      </c>
      <c r="U65" s="6"/>
      <c r="AB65">
        <f t="shared" si="42"/>
        <v>1.0470407709291076E-3</v>
      </c>
      <c r="AD65">
        <f t="shared" si="43"/>
        <v>5.5213909992065204E-4</v>
      </c>
      <c r="AF65">
        <f t="shared" si="44"/>
        <v>5.8715141891254219E-4</v>
      </c>
    </row>
    <row r="66" spans="1:40">
      <c r="A66" t="s">
        <v>73</v>
      </c>
      <c r="B66">
        <f>B60/B59</f>
        <v>0.15147391871562821</v>
      </c>
      <c r="C66">
        <f t="shared" ref="C66:D66" si="113">C60/C59</f>
        <v>0.15014854879614989</v>
      </c>
      <c r="D66">
        <f t="shared" si="113"/>
        <v>0.14882317887667157</v>
      </c>
      <c r="E66">
        <f t="shared" si="99"/>
        <v>0.15014854879614989</v>
      </c>
      <c r="F66">
        <f t="shared" si="100"/>
        <v>1.3253699194783197E-3</v>
      </c>
      <c r="G66" s="6"/>
      <c r="H66" t="s">
        <v>73</v>
      </c>
      <c r="I66">
        <f>I60/I59</f>
        <v>0.13345530575482878</v>
      </c>
      <c r="J66">
        <f t="shared" ref="J66:K66" si="114">J60/J59</f>
        <v>0.13382456915055788</v>
      </c>
      <c r="K66">
        <f t="shared" si="114"/>
        <v>0.13453155822059351</v>
      </c>
      <c r="L66">
        <f t="shared" si="102"/>
        <v>0.13393714437532669</v>
      </c>
      <c r="M66">
        <f t="shared" si="103"/>
        <v>5.4688639445499428E-4</v>
      </c>
      <c r="N66" s="6"/>
      <c r="O66" t="s">
        <v>73</v>
      </c>
      <c r="P66">
        <f>P60/P59</f>
        <v>0.13573778323777602</v>
      </c>
      <c r="Q66">
        <f t="shared" ref="Q66:R66" si="115">Q60/Q59</f>
        <v>0.13376094602507538</v>
      </c>
      <c r="R66">
        <f t="shared" si="115"/>
        <v>0.13442771111664423</v>
      </c>
      <c r="S66">
        <f t="shared" si="105"/>
        <v>0.13464214679316522</v>
      </c>
      <c r="T66">
        <f t="shared" si="106"/>
        <v>1.0057128496262096E-3</v>
      </c>
      <c r="U66" s="6"/>
      <c r="AB66">
        <f t="shared" si="42"/>
        <v>1.4997696932553509E-3</v>
      </c>
      <c r="AD66">
        <f t="shared" si="43"/>
        <v>6.1884884212562539E-4</v>
      </c>
      <c r="AF66">
        <f t="shared" si="44"/>
        <v>1.1380503132141127E-3</v>
      </c>
    </row>
    <row r="68" spans="1:40">
      <c r="AG68" t="s">
        <v>241</v>
      </c>
      <c r="AI68" t="s">
        <v>242</v>
      </c>
      <c r="AK68" t="s">
        <v>243</v>
      </c>
    </row>
    <row r="69" spans="1:40">
      <c r="A69" t="s">
        <v>244</v>
      </c>
      <c r="AB69" t="s">
        <v>245</v>
      </c>
      <c r="AC69">
        <f>((AT64*X46)^2+(AU64*X46)^2+(1/64/39.37*B72*B73))^0.5</f>
        <v>3464.5745825568952</v>
      </c>
      <c r="AD69" t="s">
        <v>246</v>
      </c>
      <c r="AF69" t="s">
        <v>140</v>
      </c>
      <c r="AG69" s="28">
        <f>0.7502*((AN70)^2+(AQ64)^2)^0.5*A70</f>
        <v>5.9401414891564974E-5</v>
      </c>
      <c r="AH69" t="s">
        <v>141</v>
      </c>
      <c r="AI69">
        <f>0.7502*((AN70)^2+(AR64)^2)^0.5*A70</f>
        <v>4.7628158229887328E-5</v>
      </c>
      <c r="AJ69" t="s">
        <v>141</v>
      </c>
      <c r="AN69" t="s">
        <v>192</v>
      </c>
    </row>
    <row r="70" spans="1:40">
      <c r="A70">
        <v>6.3090196403440001E-5</v>
      </c>
      <c r="Y70" t="s">
        <v>0</v>
      </c>
      <c r="Z70" t="s">
        <v>109</v>
      </c>
      <c r="AD70" t="s">
        <v>110</v>
      </c>
      <c r="AH70" t="s">
        <v>111</v>
      </c>
      <c r="AN70">
        <v>0.11237193940229341</v>
      </c>
    </row>
    <row r="71" spans="1:40">
      <c r="D71" t="s">
        <v>247</v>
      </c>
      <c r="Y71" t="s">
        <v>113</v>
      </c>
      <c r="Z71">
        <v>1</v>
      </c>
      <c r="AA71">
        <v>2</v>
      </c>
      <c r="AB71">
        <v>3</v>
      </c>
      <c r="AC71" t="s">
        <v>114</v>
      </c>
      <c r="AD71">
        <v>1</v>
      </c>
      <c r="AE71">
        <v>2</v>
      </c>
      <c r="AF71">
        <v>3</v>
      </c>
      <c r="AG71" t="s">
        <v>115</v>
      </c>
      <c r="AH71">
        <v>1</v>
      </c>
      <c r="AI71">
        <v>2</v>
      </c>
      <c r="AJ71">
        <v>3</v>
      </c>
      <c r="AK71" t="s">
        <v>115</v>
      </c>
    </row>
    <row r="72" spans="1:40">
      <c r="A72" t="s">
        <v>145</v>
      </c>
      <c r="B72">
        <v>998.21</v>
      </c>
      <c r="D72">
        <f>B73*B72*Z2</f>
        <v>6787.9685911722127</v>
      </c>
      <c r="Y72" t="s">
        <v>118</v>
      </c>
      <c r="Z72">
        <f>(B51)*(($AO$64/B8)^2+($AP$64/B7)^2)^0.5+$F$51</f>
        <v>7.7431361766714542</v>
      </c>
      <c r="AA72">
        <f>(C51)*(($AO$64/C8)^2+($AP$64/C7)^2)^0.5+$F$51</f>
        <v>7.6979144124673411</v>
      </c>
      <c r="AB72">
        <f>(D51)*(($AO$64/D8)^2+($AP$64/D7)^2)^0.5+$F$51</f>
        <v>7.6979144124673411</v>
      </c>
      <c r="AC72">
        <f t="shared" ref="AC72:AC86" si="116">MAX(Z72:AB72)</f>
        <v>7.7431361766714542</v>
      </c>
      <c r="AD72">
        <f>B52*(($AC$69/B45)^2+($AI$69/B39)^2)^0.5+$F$52</f>
        <v>3.2761102160315509</v>
      </c>
      <c r="AE72">
        <f>C52*(($AC$69/C45)^2+($AI$69/C39)^2)^0.5+$F$52</f>
        <v>3.2725699454955555</v>
      </c>
      <c r="AF72">
        <f>D52*(($AC$69/D45)^2+($AI$69/D39)^2)^0.5+$F$52</f>
        <v>3.2725699454955555</v>
      </c>
      <c r="AG72">
        <f t="shared" ref="AG72:AG86" si="117">MAX(AD72:AF72)</f>
        <v>3.2761102160315509</v>
      </c>
      <c r="AH72">
        <f>B62*((AD72/B52)^2+(Z72/B51)^2)^2</f>
        <v>1.9546372688967521E-4</v>
      </c>
      <c r="AI72">
        <f>C62*((AE72/C52)^2+(AA72/C51)^2)^2</f>
        <v>2.047242598788837E-4</v>
      </c>
      <c r="AJ72">
        <f>D62*((AF72/D52)^2+(AB72/D51)^2)^2</f>
        <v>2.047242598788837E-4</v>
      </c>
      <c r="AK72">
        <f t="shared" ref="AK72:AK86" si="118">MAX(AH72:AJ72)</f>
        <v>2.047242598788837E-4</v>
      </c>
    </row>
    <row r="73" spans="1:40">
      <c r="A73" t="s">
        <v>146</v>
      </c>
      <c r="B73">
        <v>9.8066499999999994</v>
      </c>
      <c r="Y73" t="s">
        <v>119</v>
      </c>
      <c r="Z73">
        <f>(B53)*(($AO$64/B15)^2+($AP$64/B14)^2)^0.5+$F$53</f>
        <v>6.2309986157918544</v>
      </c>
      <c r="AA73">
        <f>(C53)*(($AO$64/C15)^2+($AP$64/C14)^2)^0.5+$F$53</f>
        <v>6.2309986157918544</v>
      </c>
      <c r="AB73">
        <f>(D53)*(($AO$64/D15)^2+($AP$64/D14)^2)^0.5+$F$53</f>
        <v>6.2309986157918544</v>
      </c>
      <c r="AC73">
        <f t="shared" si="116"/>
        <v>6.2309986157918544</v>
      </c>
      <c r="AD73">
        <f>B54*(($AC$69/B46)^2+($AI$69/B40)^2)^0.5+$F$54</f>
        <v>3.1979937175877255</v>
      </c>
      <c r="AE73">
        <f>C54*(($AC$69/C46)^2+($AI$69/C40)^2)^0.5+$F$54</f>
        <v>3.1336948202015331</v>
      </c>
      <c r="AF73">
        <f>D54*(($AC$69/D46)^2+($AI$69/D40)^2)^0.5+$F$54</f>
        <v>3.1351005486636496</v>
      </c>
      <c r="AG73">
        <f t="shared" si="117"/>
        <v>3.1979937175877255</v>
      </c>
      <c r="AH73">
        <f>B63*((AD73/B54)^2+(Z73/B53)^2)^2</f>
        <v>2.0237822926487636E-4</v>
      </c>
      <c r="AI73">
        <f>C63*((AE73/C54)^2+(AA73/C53)^2)^2</f>
        <v>2.0570437708764238E-4</v>
      </c>
      <c r="AJ73">
        <f>D63*((AF73/D54)^2+(AB73/D53)^2)^2</f>
        <v>2.0188634480831902E-4</v>
      </c>
      <c r="AK73">
        <f t="shared" si="118"/>
        <v>2.0570437708764238E-4</v>
      </c>
    </row>
    <row r="74" spans="1:40" ht="16.5" thickBot="1">
      <c r="J74" t="s">
        <v>248</v>
      </c>
      <c r="K74" t="s">
        <v>177</v>
      </c>
      <c r="Y74" t="s">
        <v>120</v>
      </c>
      <c r="Z74">
        <f>(B55)*(($AO$64/B22)^2+($AP$64/B21)^2)^0.5+$F$55</f>
        <v>6.1737741698251494</v>
      </c>
      <c r="AA74">
        <f>(C55)*(($AO$64/C22)^2+($AP$64/C21)^2)^0.5+$F$55</f>
        <v>6.1737741698251494</v>
      </c>
      <c r="AB74">
        <f>(D55)*(($AO$64/D22)^2+($AP$64/D21)^2)^0.5+$F$55</f>
        <v>6.1737741698251494</v>
      </c>
      <c r="AC74">
        <f t="shared" si="116"/>
        <v>6.1737741698251494</v>
      </c>
      <c r="AD74">
        <f>B56*(($AC$69/B47)^2+($AI$69/B41)^2)^0.5+$F$56</f>
        <v>2.7257815745370966</v>
      </c>
      <c r="AE74">
        <f>C56*(($AC$69/C47)^2+($AI$69/C41)^2)^0.5+$F$56</f>
        <v>2.7228368457796814</v>
      </c>
      <c r="AF74">
        <f>D56*(($AC$69/D47)^2+($AI$69/D41)^2)^0.5+$F$56</f>
        <v>2.7181394501412379</v>
      </c>
      <c r="AG74">
        <f t="shared" si="117"/>
        <v>2.7257815745370966</v>
      </c>
      <c r="AH74">
        <f>B64*((AD74/B56)^2+(Z74/B55)^2)^2</f>
        <v>1.5305175141399363E-4</v>
      </c>
      <c r="AI74">
        <f>C64*((AE74/C56)^2+(AA74/C55)^2)^2</f>
        <v>1.5300640266663446E-4</v>
      </c>
      <c r="AJ74">
        <f>D64*((AF74/D56)^2+(AB74/D55)^2)^2</f>
        <v>1.5564135353919904E-4</v>
      </c>
      <c r="AK74">
        <f t="shared" si="118"/>
        <v>1.5564135353919904E-4</v>
      </c>
    </row>
    <row r="75" spans="1:40">
      <c r="J75" s="17">
        <v>3.0307562969201059E-4</v>
      </c>
      <c r="K75" s="18">
        <v>0.16951666089021042</v>
      </c>
      <c r="L75">
        <f t="shared" ref="L75:L89" si="119">K75*100</f>
        <v>16.951666089021042</v>
      </c>
      <c r="Y75" t="s">
        <v>121</v>
      </c>
      <c r="Z75">
        <f>(B57)*(($AO$64/B29)^2+($AP$64/B28)^2)^0.5+$F$57</f>
        <v>6.3242227783341107</v>
      </c>
      <c r="AA75">
        <f>(C57)*(($AO$64/C29)^2+($AP$64/C28)^2)^0.5+$F$57</f>
        <v>6.3242227783341107</v>
      </c>
      <c r="AB75">
        <f>(D57)*(($AO$64/D29)^2+($AP$64/D28)^2)^0.5+$F$57</f>
        <v>6.3242227783341107</v>
      </c>
      <c r="AC75">
        <f t="shared" si="116"/>
        <v>6.3242227783341107</v>
      </c>
      <c r="AD75">
        <f>B58*(($AC$69/B48)^2+($AI$69/B42)^2)^0.5+$F$58</f>
        <v>2.9890509097110742</v>
      </c>
      <c r="AE75">
        <f>C58*(($AC$69/C48)^2+($AI$69/C42)^2)^0.5+$F$58</f>
        <v>2.9890509097110742</v>
      </c>
      <c r="AF75">
        <f>D58*(($AC$69/D48)^2+($AI$69/D42)^2)^0.5+$F$58</f>
        <v>2.9848593388502818</v>
      </c>
      <c r="AG75">
        <f t="shared" si="117"/>
        <v>2.9890509097110742</v>
      </c>
      <c r="AH75">
        <f>B65*((AD75/B58)^2+(Z75/B57)^2)^2</f>
        <v>1.5426442366845737E-4</v>
      </c>
      <c r="AI75">
        <f>C65*((AE75/C58)^2+(AA75/C57)^2)^2</f>
        <v>1.5426442366845737E-4</v>
      </c>
      <c r="AJ75">
        <f>D65*((AF75/D58)^2+(AB75/D57)^2)^2</f>
        <v>1.5718953269174829E-4</v>
      </c>
      <c r="AK75">
        <f t="shared" si="118"/>
        <v>1.5718953269174829E-4</v>
      </c>
    </row>
    <row r="76" spans="1:40">
      <c r="J76" s="19">
        <v>3.3483123884906336E-4</v>
      </c>
      <c r="K76" s="20">
        <v>0.17590447333345338</v>
      </c>
      <c r="L76">
        <f t="shared" si="119"/>
        <v>17.590447333345338</v>
      </c>
      <c r="Y76" t="s">
        <v>123</v>
      </c>
      <c r="Z76">
        <f>(B59)*(($AO$64/B36)^2+($AP$64/B35)^2)^0.5+$F$59</f>
        <v>6.267849511594866</v>
      </c>
      <c r="AA76">
        <f>(C59)*(($AO$64/C36)^2+($AP$64/C35)^2)^0.5+$F$59</f>
        <v>6.267849511594866</v>
      </c>
      <c r="AB76">
        <f>(D59)*(($AO$64/D36)^2+($AP$64/D35)^2)^0.5+$F$59</f>
        <v>6.267849511594866</v>
      </c>
      <c r="AC76">
        <f t="shared" si="116"/>
        <v>6.267849511594866</v>
      </c>
      <c r="AD76">
        <f>B60*(($AC$69/B49)^2+($AI$69/B43)^2)^0.5+$F$60</f>
        <v>2.620647976378871</v>
      </c>
      <c r="AE76">
        <f>C60*(($AC$69/C49)^2+($AI$69/C43)^2)^0.5+$F$60</f>
        <v>2.6154436777678614</v>
      </c>
      <c r="AF76">
        <f>D60*(($AC$69/D49)^2+($AI$69/D43)^2)^0.5+$F$60</f>
        <v>2.6102742979401774</v>
      </c>
      <c r="AG76">
        <f t="shared" si="117"/>
        <v>2.620647976378871</v>
      </c>
      <c r="AH76">
        <f>B66*((AD76/B60)^2+(Z76/B59)^2)^2</f>
        <v>1.4144743608324471E-4</v>
      </c>
      <c r="AI76">
        <f>C66*((AE76/C60)^2+(AA76/C59)^2)^2</f>
        <v>1.4362484214131918E-4</v>
      </c>
      <c r="AJ76">
        <f>D66*((AF76/D60)^2+(AB76/D59)^2)^2</f>
        <v>1.4587506259097327E-4</v>
      </c>
      <c r="AK76">
        <f t="shared" si="118"/>
        <v>1.4587506259097327E-4</v>
      </c>
    </row>
    <row r="77" spans="1:40">
      <c r="J77" s="19">
        <v>3.3483123884906336E-4</v>
      </c>
      <c r="K77" s="20">
        <v>0.16335822809172038</v>
      </c>
      <c r="L77">
        <f t="shared" si="119"/>
        <v>16.335822809172036</v>
      </c>
      <c r="Y77" t="s">
        <v>125</v>
      </c>
      <c r="Z77">
        <f>(I51)*(($AO$64/I8)^2+($AP$64/I7)^2)^0.5+$M$51</f>
        <v>15.448789279045657</v>
      </c>
      <c r="AA77">
        <f>(J51)*(($AO$64/J8)^2+($AP$64/J7)^2)^0.5+$M$51</f>
        <v>15.546648780203752</v>
      </c>
      <c r="AB77">
        <f>(K51)*(($AO$64/K8)^2+($AP$64/K7)^2)^0.5+$M$51</f>
        <v>15.546648780203752</v>
      </c>
      <c r="AC77">
        <f t="shared" si="116"/>
        <v>15.546648780203752</v>
      </c>
      <c r="AD77">
        <f>I52*(($AC$69/I45)^2+($AI$69/I39)^2)^0.5+$M$52</f>
        <v>6.0064762650354862</v>
      </c>
      <c r="AE77">
        <f>J52*(($AC$69/J45)^2+($AI$69/J39)^2)^0.5+$M$52</f>
        <v>5.9994180758387623</v>
      </c>
      <c r="AF77">
        <f>K52*(($AC$69/K45)^2+($AI$69/K39)^2)^0.5+$M$52</f>
        <v>5.9963180250881356</v>
      </c>
      <c r="AG77">
        <f t="shared" si="117"/>
        <v>6.0064762650354862</v>
      </c>
      <c r="AH77">
        <f>I62*((AD77/I52)^2+(Z77/I51)^2)^2</f>
        <v>2.4786100298755517E-5</v>
      </c>
      <c r="AI77">
        <f>J62*((AE77/J52)^2+(AA77/J51)^2)^2</f>
        <v>2.4676992022933962E-5</v>
      </c>
      <c r="AJ77">
        <f>K62*((AF77/K52)^2+(AB77/K51)^2)^2</f>
        <v>2.4670406498432492E-5</v>
      </c>
      <c r="AK77">
        <f t="shared" si="118"/>
        <v>2.4786100298755517E-5</v>
      </c>
    </row>
    <row r="78" spans="1:40">
      <c r="J78" s="19">
        <v>3.2868499191544029E-4</v>
      </c>
      <c r="K78" s="20">
        <v>0.17141018436685496</v>
      </c>
      <c r="L78">
        <f t="shared" si="119"/>
        <v>17.141018436685496</v>
      </c>
      <c r="Y78" t="s">
        <v>127</v>
      </c>
      <c r="Z78">
        <f>(I53)*(($AO$64/I22)^2+($AP$64/I21)^2)^0.5+$M$53</f>
        <v>11.705304339347554</v>
      </c>
      <c r="AA78">
        <f>(J53)*(($AO$64/J22)^2+($AP$64/J21)^2)^0.5+$M$53</f>
        <v>11.705304339347554</v>
      </c>
      <c r="AB78">
        <f>(K53)*(($AO$64/K22)^2+($AP$64/K21)^2)^0.5+$M$53</f>
        <v>11.705304339347554</v>
      </c>
      <c r="AC78">
        <f t="shared" si="116"/>
        <v>11.705304339347554</v>
      </c>
      <c r="AD78">
        <f>I54*(($AC$69/I46)^2+($AI$69/I40)^2)^0.5+$M$54</f>
        <v>5.1807575071963576</v>
      </c>
      <c r="AE78">
        <f>J54*(($AC$69/J46)^2+($AI$69/J40)^2)^0.5+$M$54</f>
        <v>5.1765289461752735</v>
      </c>
      <c r="AF78">
        <f>K54*(($AC$69/K46)^2+($AI$69/K40)^2)^0.5+$M$54</f>
        <v>5.1807575071963576</v>
      </c>
      <c r="AG78">
        <f t="shared" si="117"/>
        <v>5.1807575071963576</v>
      </c>
      <c r="AH78">
        <f>I63*((AD78/I54)^2+(Z78/I53)^2)^2</f>
        <v>1.4761507978509376E-5</v>
      </c>
      <c r="AI78">
        <f>J63*((AE78/J54)^2+(AA78/J53)^2)^2</f>
        <v>1.4922181361125842E-5</v>
      </c>
      <c r="AJ78">
        <f>K63*((AF78/K54)^2+(AB78/K53)^2)^2</f>
        <v>1.4761507978509376E-5</v>
      </c>
      <c r="AK78">
        <f t="shared" si="118"/>
        <v>1.4922181361125842E-5</v>
      </c>
    </row>
    <row r="79" spans="1:40" ht="16.5" thickBot="1">
      <c r="J79" s="19">
        <v>3.481481072052468E-4</v>
      </c>
      <c r="K79" s="20">
        <v>0.15014854879614989</v>
      </c>
      <c r="L79">
        <f t="shared" si="119"/>
        <v>15.014854879614989</v>
      </c>
      <c r="Y79" t="s">
        <v>128</v>
      </c>
      <c r="Z79">
        <f>(I55)*(($AO$64/I22)^2+($AP$64/I21)^2)^0.5+$M$55</f>
        <v>11.611661904632772</v>
      </c>
      <c r="AA79">
        <f>(J55)*(($AO$64/J22)^2+($AP$64/J21)^2)^0.5+$M$55</f>
        <v>11.611661904632772</v>
      </c>
      <c r="AB79">
        <f>(K55)*(($AO$64/K22)^2+($AP$64/K21)^2)^0.5+$M$55</f>
        <v>11.611661904632772</v>
      </c>
      <c r="AC79">
        <f t="shared" si="116"/>
        <v>11.611661904632772</v>
      </c>
      <c r="AD79">
        <f>I56*(($AC$69/I47)^2+($AI$69/I41)^2)^0.5+$M$56</f>
        <v>4.9612745050839724</v>
      </c>
      <c r="AE79">
        <f>J56*(($AC$69/J47)^2+($AI$69/J41)^2)^0.5+$M$56</f>
        <v>4.9673175327933841</v>
      </c>
      <c r="AF79">
        <f>K56*(($AC$69/K47)^2+($AI$69/K41)^2)^0.5+$M$56</f>
        <v>4.9657721348445918</v>
      </c>
      <c r="AG79">
        <f t="shared" si="117"/>
        <v>4.9673175327933841</v>
      </c>
      <c r="AH79">
        <f>I64*((AD79/I56)^2+(Z79/I55)^2)^2</f>
        <v>1.5644198349162413E-5</v>
      </c>
      <c r="AI79">
        <f>J64*((AE79/J56)^2+(AA79/J55)^2)^2</f>
        <v>1.5314805411737272E-5</v>
      </c>
      <c r="AJ79">
        <f>K64*((AF79/K56)^2+(AB79/K55)^2)^2</f>
        <v>1.547904821778838E-5</v>
      </c>
      <c r="AK79">
        <f t="shared" si="118"/>
        <v>1.5644198349162413E-5</v>
      </c>
    </row>
    <row r="80" spans="1:40">
      <c r="J80" s="17">
        <v>5.3458426419181486E-4</v>
      </c>
      <c r="K80" s="18">
        <v>0.16707644460893742</v>
      </c>
      <c r="L80">
        <f t="shared" si="119"/>
        <v>16.707644460893743</v>
      </c>
      <c r="Y80" t="s">
        <v>129</v>
      </c>
      <c r="Z80">
        <f>(I57)*(($AO$64/I29)^2+($AP$64/I28)^2)^0.5+$M$57</f>
        <v>11.553885101449639</v>
      </c>
      <c r="AA80">
        <f>(J57)*(($AO$64/J29)^2+($AP$64/J28)^2)^0.5+$M$57</f>
        <v>11.553885101449639</v>
      </c>
      <c r="AB80">
        <f>(K57)*(($AO$64/K29)^2+($AP$64/K28)^2)^0.5+$M$57</f>
        <v>11.553885101449639</v>
      </c>
      <c r="AC80">
        <f t="shared" si="116"/>
        <v>11.553885101449639</v>
      </c>
      <c r="AD80">
        <f>I58*(($AC$69/I48)^2+($AI$69/I42)^2)^0.5+$M$58</f>
        <v>5.1840362805333848</v>
      </c>
      <c r="AE80">
        <f>J58*(($AC$69/J48)^2+($AI$69/J42)^2)^0.5+$M$58</f>
        <v>5.1799453846389278</v>
      </c>
      <c r="AF80">
        <f>K58*(($AC$69/K48)^2+($AI$69/K42)^2)^0.5+$M$58</f>
        <v>5.1840362805333848</v>
      </c>
      <c r="AG80">
        <f t="shared" si="117"/>
        <v>5.1840362805333848</v>
      </c>
      <c r="AH80">
        <f>I65*((AD80/I58)^2+(Z80/I57)^2)^2</f>
        <v>1.6103434707054673E-5</v>
      </c>
      <c r="AI80">
        <f>J65*((AE80/J58)^2+(AA80/J57)^2)^2</f>
        <v>1.6289106403156481E-5</v>
      </c>
      <c r="AJ80">
        <f>K65*((AF80/K58)^2+(AB80/K57)^2)^2</f>
        <v>1.6103434707054673E-5</v>
      </c>
      <c r="AK80">
        <f t="shared" si="118"/>
        <v>1.6289106403156481E-5</v>
      </c>
    </row>
    <row r="81" spans="10:37">
      <c r="J81" s="19">
        <v>5.7453486926036521E-4</v>
      </c>
      <c r="K81" s="20">
        <v>0.15447887655467488</v>
      </c>
      <c r="L81">
        <f t="shared" si="119"/>
        <v>15.447887655467488</v>
      </c>
      <c r="Y81" t="s">
        <v>131</v>
      </c>
      <c r="Z81">
        <f>(I59)*(($AO$64/I36)^2+($AP$64/I35)^2)^0.5+$M$59</f>
        <v>13.203151265798125</v>
      </c>
      <c r="AA81">
        <f>(J59)*(($AO$64/J36)^2+($AP$64/J35)^2)^0.5+$M$59</f>
        <v>13.144743625906887</v>
      </c>
      <c r="AB81">
        <f>(K59)*(($AO$64/K36)^2+($AP$64/K35)^2)^0.5+$M$59</f>
        <v>13.144743625906887</v>
      </c>
      <c r="AC81">
        <f t="shared" si="116"/>
        <v>13.203151265798125</v>
      </c>
      <c r="AD81">
        <f>I60*(($AC$69/I49)^2+($AI$69/I43)^2)^0.5+$M$60</f>
        <v>4.4668689197645133</v>
      </c>
      <c r="AE81">
        <f>J60*(($AC$69/J49)^2+($AI$69/J43)^2)^0.5+$M$60</f>
        <v>4.4618911069833835</v>
      </c>
      <c r="AF81">
        <f>K60*(($AC$69/K49)^2+($AI$69/K43)^2)^0.5+$M$60</f>
        <v>4.4668689197645133</v>
      </c>
      <c r="AG81">
        <f t="shared" si="117"/>
        <v>4.4668689197645133</v>
      </c>
      <c r="AH81">
        <f>I66*((AD81/I60)^2+(Z81/I59)^2)^2</f>
        <v>1.4653169109009274E-5</v>
      </c>
      <c r="AI81">
        <f>J66*((AE81/J60)^2+(AA81/J59)^2)^2</f>
        <v>1.4935439805283435E-5</v>
      </c>
      <c r="AJ81">
        <f>K66*((AF81/K60)^2+(AB81/K59)^2)^2</f>
        <v>1.4800087255491998E-5</v>
      </c>
      <c r="AK81">
        <f t="shared" si="118"/>
        <v>1.4935439805283435E-5</v>
      </c>
    </row>
    <row r="82" spans="10:37">
      <c r="J82" s="19">
        <v>5.7555924374930244E-4</v>
      </c>
      <c r="K82" s="20">
        <v>0.14481757528581615</v>
      </c>
      <c r="L82">
        <f t="shared" si="119"/>
        <v>14.481757528581616</v>
      </c>
      <c r="Y82" t="s">
        <v>133</v>
      </c>
      <c r="Z82">
        <f>(P51)*(($AO$64/P8)^2+($AP$64/P7)^2)^0.5+$T$51</f>
        <v>18.142224057430365</v>
      </c>
      <c r="AA82">
        <f>(Q51)*(($AO$64/Q8)^2+($AP$64/Q7)^2)^0.5+$T$51</f>
        <v>18.142224057430365</v>
      </c>
      <c r="AB82">
        <f>(R51)*(($AO$64/R8)^2+($AP$64/R7)^2)^0.5+$T$51</f>
        <v>18.142224057430365</v>
      </c>
      <c r="AC82">
        <f t="shared" si="116"/>
        <v>18.142224057430365</v>
      </c>
      <c r="AD82">
        <f>P52*(($AC$69/P45)^2+($AI$69/P39)^2)^0.5+$T$52</f>
        <v>9.7162052773558276</v>
      </c>
      <c r="AE82">
        <f>Q52*(($AC$69/Q45)^2+($AI$69/Q39)^2)^0.5+$T$52</f>
        <v>9.7196488716675287</v>
      </c>
      <c r="AF82">
        <f>R52*(($AC$69/R45)^2+($AI$69/R39)^2)^0.5+$T$52</f>
        <v>9.7130803812814097</v>
      </c>
      <c r="AG82">
        <f t="shared" si="117"/>
        <v>9.7196488716675287</v>
      </c>
      <c r="AH82">
        <f>P62*((AD82/P52)^2+(Z82/P51)^2)^2</f>
        <v>4.4499316562721364E-6</v>
      </c>
      <c r="AI82">
        <f>Q62*((AE82/Q52)^2+(AA82/Q51)^2)^2</f>
        <v>4.3734742450659688E-6</v>
      </c>
      <c r="AJ82">
        <f>R62*((AF82/R52)^2+(AB82/R51)^2)^2</f>
        <v>4.4491676996826606E-6</v>
      </c>
      <c r="AK82">
        <f t="shared" si="118"/>
        <v>4.4499316562721364E-6</v>
      </c>
    </row>
    <row r="83" spans="10:37">
      <c r="J83" s="19">
        <v>5.5609612845949593E-4</v>
      </c>
      <c r="K83" s="20">
        <v>0.15292959176406273</v>
      </c>
      <c r="L83">
        <f t="shared" si="119"/>
        <v>15.292959176406274</v>
      </c>
      <c r="Y83" t="s">
        <v>135</v>
      </c>
      <c r="Z83">
        <f>(P53)*(($AO$64/P15)^2+($AP$64/P14)^2)^0.5+$T$53</f>
        <v>18.02761631497631</v>
      </c>
      <c r="AA83">
        <f>(Q53)*(($AO$64/Q15)^2+($AP$64/Q14)^2)^0.5+$T$53</f>
        <v>18.02761631497631</v>
      </c>
      <c r="AB83">
        <f>(R53)*(($AO$64/R15)^2+($AP$64/R14)^2)^0.5+$T$53</f>
        <v>18.02761631497631</v>
      </c>
      <c r="AC83">
        <f t="shared" si="116"/>
        <v>18.02761631497631</v>
      </c>
      <c r="AD83">
        <f>P54*(($AC$69/P46)^2+($AI$69/P40)^2)^0.5+$T$54</f>
        <v>8.6049234353653237</v>
      </c>
      <c r="AE83">
        <f>Q54*(($AC$69/Q46)^2+($AI$69/Q40)^2)^0.5+$T$54</f>
        <v>8.613013826767201</v>
      </c>
      <c r="AF83">
        <f>R54*(($AC$69/R46)^2+($AI$69/R40)^2)^0.5+$T$54</f>
        <v>8.6099326242891614</v>
      </c>
      <c r="AG83">
        <f t="shared" si="117"/>
        <v>8.613013826767201</v>
      </c>
      <c r="AH83">
        <f>P63*((AD83/P54)^2+(Z83/P53)^2)^2</f>
        <v>3.9065192493718157E-6</v>
      </c>
      <c r="AI83">
        <f>Q63*((AE83/Q54)^2+(AA83/Q53)^2)^2</f>
        <v>3.8643897586255661E-6</v>
      </c>
      <c r="AJ83">
        <f>R63*((AF83/R54)^2+(AB83/R53)^2)^2</f>
        <v>3.8636856417127315E-6</v>
      </c>
      <c r="AK83">
        <f t="shared" si="118"/>
        <v>3.9065192493718157E-6</v>
      </c>
    </row>
    <row r="84" spans="10:37" ht="16.5" thickBot="1">
      <c r="J84" s="19">
        <v>5.8375423966080002E-4</v>
      </c>
      <c r="K84" s="20">
        <v>0.13393714437532669</v>
      </c>
      <c r="L84">
        <f t="shared" si="119"/>
        <v>13.393714437532669</v>
      </c>
      <c r="Y84" t="s">
        <v>137</v>
      </c>
      <c r="Z84">
        <f>(P55)*(($AO$64/P22)^2+($AP$64/P21)^2)^0.5+$T$55</f>
        <v>18.154018150260839</v>
      </c>
      <c r="AA84">
        <f>(Q55)*(($AO$64/Q22)^2+($AP$64/Q21)^2)^0.5+$T$55</f>
        <v>18.154018150260839</v>
      </c>
      <c r="AB84">
        <f>(R55)*(($AO$64/R22)^2+($AP$64/R21)^2)^0.5+$T$55</f>
        <v>18.154018150260839</v>
      </c>
      <c r="AC84">
        <f t="shared" si="116"/>
        <v>18.154018150260839</v>
      </c>
      <c r="AD84">
        <f>P56*(($AC$69/P47)^2+($AG$69/P41)^2)^0.5+$T$56</f>
        <v>9.5086014325659285</v>
      </c>
      <c r="AE84">
        <f>Q56*(($AC$69/Q47)^2+($AG$69/Q41)^2)^0.5+$T$56</f>
        <v>9.5209454505902897</v>
      </c>
      <c r="AF84">
        <f>R56*(($AC$69/R47)^2+($AG$69/R41)^2)^0.5+$T$56</f>
        <v>9.5248320614574808</v>
      </c>
      <c r="AG84">
        <f t="shared" si="117"/>
        <v>9.5248320614574808</v>
      </c>
      <c r="AH84">
        <f>P64*((AD84/P56)^2+(Z84/P55)^2)^2</f>
        <v>7.1793497379109123E-6</v>
      </c>
      <c r="AI84">
        <f>Q64*((AE84/Q56)^2+(AA84/Q55)^2)^2</f>
        <v>7.0978281845058877E-6</v>
      </c>
      <c r="AJ84">
        <f>R64*((AF84/R56)^2+(AB84/R55)^2)^2</f>
        <v>7.099452717943005E-6</v>
      </c>
      <c r="AK84">
        <f t="shared" si="118"/>
        <v>7.1793497379109123E-6</v>
      </c>
    </row>
    <row r="85" spans="10:37">
      <c r="J85" s="17">
        <v>8.0809225273804398E-4</v>
      </c>
      <c r="K85" s="18">
        <v>0.1838978740106858</v>
      </c>
      <c r="L85">
        <f t="shared" si="119"/>
        <v>18.389787401068581</v>
      </c>
      <c r="Y85" t="s">
        <v>138</v>
      </c>
      <c r="Z85">
        <f>(P57)*(($AO$64/P29)^2+($AP$64/P28)^2)^0.5+$T$57</f>
        <v>18.210679687686152</v>
      </c>
      <c r="AA85">
        <f>(Q57)*(($AO$64/Q29)^2+($AP$64/Q28)^2)^0.5+$T$57</f>
        <v>18.210679687686152</v>
      </c>
      <c r="AB85">
        <f>(R57)*(($AO$64/R29)^2+($AP$64/R28)^2)^0.5+$T$57</f>
        <v>18.210679687686152</v>
      </c>
      <c r="AC85">
        <f t="shared" si="116"/>
        <v>18.210679687686152</v>
      </c>
      <c r="AD85">
        <f>P58*(($AC$69/P48)^2+($AG$69/P42)^2)^0.5+$T$58</f>
        <v>10.93704177772447</v>
      </c>
      <c r="AE85">
        <f>Q58*(($AC$69/Q48)^2+($AG$69/Q42)^2)^0.5+$T$58</f>
        <v>10.93704177772447</v>
      </c>
      <c r="AF85">
        <f>R58*(($AC$69/R48)^2+($AG$69/R42)^2)^0.5+$T$58</f>
        <v>10.94092373161512</v>
      </c>
      <c r="AG85">
        <f t="shared" si="117"/>
        <v>10.94092373161512</v>
      </c>
      <c r="AH85">
        <f>P65*((AD85/P58)^2+(Z85/P57)^2)^2</f>
        <v>7.9675273007650095E-6</v>
      </c>
      <c r="AI85">
        <f>Q65*((AE85/Q58)^2+(AA85/Q57)^2)^2</f>
        <v>7.9675273007650095E-6</v>
      </c>
      <c r="AJ85">
        <f>R65*((AF85/R58)^2+(AB85/R57)^2)^2</f>
        <v>7.8681242704416831E-6</v>
      </c>
      <c r="AK85">
        <f t="shared" si="118"/>
        <v>7.9675273007650095E-6</v>
      </c>
    </row>
    <row r="86" spans="10:37">
      <c r="J86" s="19">
        <v>8.1750173493030768E-4</v>
      </c>
      <c r="K86" s="20">
        <v>0.16956109906147335</v>
      </c>
      <c r="L86">
        <f t="shared" si="119"/>
        <v>16.956109906147336</v>
      </c>
      <c r="Y86" t="s">
        <v>139</v>
      </c>
      <c r="Z86">
        <f>(P59)*(($AO$64/P36)^2+($AP$64/P35)^2)^0.5+$T$59</f>
        <v>20.114853911302372</v>
      </c>
      <c r="AA86">
        <f>(Q59)*(($AO$64/Q36)^2+($AP$64/Q35)^2)^0.5+$T$59</f>
        <v>20.178147578746515</v>
      </c>
      <c r="AB86">
        <f>(R59)*(($AO$64/R36)^2+($AP$64/R35)^2)^0.5+$T$59</f>
        <v>20.178147578746515</v>
      </c>
      <c r="AC86">
        <f t="shared" si="116"/>
        <v>20.178147578746515</v>
      </c>
      <c r="AD86">
        <f>P60*(($AC$69/P49)^2+($AG$69/P43)^2)^0.5+$T$60</f>
        <v>8.6077278500917753</v>
      </c>
      <c r="AE86">
        <f>Q60*(($AC$69/Q49)^2+($AG$69/Q43)^2)^0.5+$T$60</f>
        <v>8.5978454420188051</v>
      </c>
      <c r="AF86">
        <f>R60*(($AC$69/R49)^2+($AG$69/R43)^2)^0.5+$T$60</f>
        <v>8.6027759017261349</v>
      </c>
      <c r="AG86">
        <f t="shared" si="117"/>
        <v>8.6077278500917753</v>
      </c>
      <c r="AH86">
        <f>P66*((AD86/P60)^2+(Z86/P59)^2)^2</f>
        <v>7.4501746884477314E-6</v>
      </c>
      <c r="AI86">
        <f>Q66*((AE86/Q60)^2+(AA86/Q59)^2)^2</f>
        <v>7.5752941538155246E-6</v>
      </c>
      <c r="AJ86">
        <f>R66*((AF86/R60)^2+(AB86/R59)^2)^2</f>
        <v>7.4921295001655302E-6</v>
      </c>
      <c r="AK86">
        <f t="shared" si="118"/>
        <v>7.5752941538155246E-6</v>
      </c>
    </row>
    <row r="87" spans="10:37">
      <c r="J87" s="19">
        <v>8.2588011301268458E-4</v>
      </c>
      <c r="K87" s="20">
        <v>0.15240428917177695</v>
      </c>
      <c r="L87">
        <f t="shared" si="119"/>
        <v>15.240428917177695</v>
      </c>
    </row>
    <row r="88" spans="10:37">
      <c r="J88" s="19">
        <v>8.1191614954205646E-4</v>
      </c>
      <c r="K88" s="20">
        <v>0.17418249197164606</v>
      </c>
      <c r="L88">
        <f t="shared" si="119"/>
        <v>17.418249197164606</v>
      </c>
    </row>
    <row r="89" spans="10:37" ht="16.5" thickBot="1">
      <c r="J89" s="21">
        <v>8.1915049206298437E-4</v>
      </c>
      <c r="K89" s="22">
        <v>0.13464214679316522</v>
      </c>
      <c r="L89">
        <f t="shared" si="119"/>
        <v>13.464214679316521</v>
      </c>
    </row>
  </sheetData>
  <phoneticPr fontId="10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473B8-24D5-45FA-AB96-F74BBCF65CFB}">
  <dimension ref="A1:K10"/>
  <sheetViews>
    <sheetView zoomScale="104" workbookViewId="0">
      <selection activeCell="A4" sqref="A4:F5"/>
    </sheetView>
  </sheetViews>
  <sheetFormatPr defaultRowHeight="15.75"/>
  <cols>
    <col min="1" max="2" width="10.625" bestFit="1" customWidth="1"/>
    <col min="4" max="5" width="12.875" bestFit="1" customWidth="1"/>
    <col min="6" max="6" width="14.375" bestFit="1" customWidth="1"/>
    <col min="7" max="7" width="12.875" bestFit="1" customWidth="1"/>
    <col min="8" max="8" width="13.625" bestFit="1" customWidth="1"/>
  </cols>
  <sheetData>
    <row r="1" spans="1:11">
      <c r="A1" s="2" t="s">
        <v>249</v>
      </c>
      <c r="G1" t="s">
        <v>250</v>
      </c>
      <c r="I1" t="s">
        <v>94</v>
      </c>
      <c r="J1" t="s">
        <v>95</v>
      </c>
    </row>
    <row r="2" spans="1:11">
      <c r="A2" s="2"/>
      <c r="G2">
        <f>1/64</f>
        <v>1.5625E-2</v>
      </c>
      <c r="I2">
        <v>0.01</v>
      </c>
      <c r="J2">
        <v>4.1000000000000002E-2</v>
      </c>
      <c r="K2" t="s">
        <v>97</v>
      </c>
    </row>
    <row r="4" spans="1:11">
      <c r="B4" t="s">
        <v>102</v>
      </c>
      <c r="C4" t="s">
        <v>103</v>
      </c>
      <c r="D4" t="s">
        <v>104</v>
      </c>
      <c r="E4" t="s">
        <v>105</v>
      </c>
      <c r="F4" t="s">
        <v>251</v>
      </c>
    </row>
    <row r="5" spans="1:11">
      <c r="A5" t="s">
        <v>107</v>
      </c>
      <c r="B5">
        <v>0.1</v>
      </c>
      <c r="C5">
        <v>2.5</v>
      </c>
      <c r="D5">
        <v>0.5</v>
      </c>
      <c r="E5">
        <v>0.5</v>
      </c>
      <c r="F5" s="15" t="s">
        <v>252</v>
      </c>
    </row>
    <row r="8" spans="1:11">
      <c r="B8" t="s">
        <v>102</v>
      </c>
      <c r="C8" t="s">
        <v>103</v>
      </c>
      <c r="D8" t="s">
        <v>253</v>
      </c>
      <c r="E8" t="s">
        <v>228</v>
      </c>
      <c r="G8" t="s">
        <v>237</v>
      </c>
      <c r="H8" t="s">
        <v>238</v>
      </c>
    </row>
    <row r="9" spans="1:11">
      <c r="A9" t="s">
        <v>239</v>
      </c>
      <c r="B9">
        <v>0.05</v>
      </c>
      <c r="C9">
        <v>2.5</v>
      </c>
      <c r="D9" s="15" t="s">
        <v>254</v>
      </c>
      <c r="E9" t="s">
        <v>255</v>
      </c>
      <c r="F9" t="s">
        <v>240</v>
      </c>
      <c r="G9">
        <v>0.5</v>
      </c>
      <c r="H9">
        <v>0.05</v>
      </c>
    </row>
    <row r="10" spans="1:11">
      <c r="F10" t="s">
        <v>256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BBD4E-0BD3-412F-953B-AFE8973F45F5}">
  <dimension ref="A1:H33"/>
  <sheetViews>
    <sheetView workbookViewId="0"/>
  </sheetViews>
  <sheetFormatPr defaultRowHeight="15.75"/>
  <cols>
    <col min="1" max="1" width="28.75" bestFit="1" customWidth="1"/>
    <col min="2" max="2" width="14.875" bestFit="1" customWidth="1"/>
    <col min="7" max="7" width="14.125" bestFit="1" customWidth="1"/>
    <col min="8" max="8" width="10.625" bestFit="1" customWidth="1"/>
  </cols>
  <sheetData>
    <row r="1" spans="1:8">
      <c r="A1" s="2" t="s">
        <v>0</v>
      </c>
      <c r="B1" s="2">
        <v>1095</v>
      </c>
    </row>
    <row r="3" spans="1:8">
      <c r="A3" t="s">
        <v>197</v>
      </c>
      <c r="B3" t="s">
        <v>188</v>
      </c>
    </row>
    <row r="4" spans="1:8">
      <c r="A4" t="s">
        <v>198</v>
      </c>
      <c r="B4">
        <v>15</v>
      </c>
    </row>
    <row r="5" spans="1:8">
      <c r="A5" t="s">
        <v>112</v>
      </c>
      <c r="B5">
        <v>0.8</v>
      </c>
    </row>
    <row r="6" spans="1:8">
      <c r="A6" t="s">
        <v>200</v>
      </c>
      <c r="B6">
        <v>21.1</v>
      </c>
    </row>
    <row r="7" spans="1:8">
      <c r="A7" t="s">
        <v>14</v>
      </c>
      <c r="B7">
        <v>221</v>
      </c>
    </row>
    <row r="8" spans="1:8">
      <c r="A8" t="s">
        <v>15</v>
      </c>
      <c r="B8">
        <v>2.58</v>
      </c>
    </row>
    <row r="10" spans="1:8">
      <c r="A10" t="s">
        <v>197</v>
      </c>
      <c r="B10" t="s">
        <v>188</v>
      </c>
    </row>
    <row r="11" spans="1:8">
      <c r="A11" t="s">
        <v>198</v>
      </c>
      <c r="B11">
        <v>15.8</v>
      </c>
    </row>
    <row r="12" spans="1:8">
      <c r="A12" t="s">
        <v>112</v>
      </c>
      <c r="B12">
        <v>0.79</v>
      </c>
      <c r="H12" s="23"/>
    </row>
    <row r="13" spans="1:8">
      <c r="A13" t="s">
        <v>200</v>
      </c>
      <c r="B13">
        <v>21</v>
      </c>
    </row>
    <row r="14" spans="1:8">
      <c r="A14" t="s">
        <v>14</v>
      </c>
      <c r="B14">
        <v>222</v>
      </c>
    </row>
    <row r="15" spans="1:8">
      <c r="A15" t="s">
        <v>15</v>
      </c>
      <c r="B15">
        <v>2.5</v>
      </c>
    </row>
    <row r="17" spans="1:4">
      <c r="A17" t="s">
        <v>257</v>
      </c>
      <c r="B17">
        <f>0.664*B4+2.4222</f>
        <v>12.382200000000001</v>
      </c>
    </row>
    <row r="18" spans="1:4">
      <c r="A18" t="s">
        <v>258</v>
      </c>
      <c r="B18">
        <f>0.664*B11+2.4222</f>
        <v>12.913400000000001</v>
      </c>
    </row>
    <row r="20" spans="1:4">
      <c r="A20" t="s">
        <v>259</v>
      </c>
      <c r="B20">
        <f>B17*0.00378541/60</f>
        <v>7.8119506169999997E-4</v>
      </c>
    </row>
    <row r="21" spans="1:4">
      <c r="A21" t="s">
        <v>260</v>
      </c>
      <c r="B21">
        <f>B18*0.00378541/60</f>
        <v>8.147085582333334E-4</v>
      </c>
    </row>
    <row r="23" spans="1:4">
      <c r="A23" t="s">
        <v>160</v>
      </c>
      <c r="B23">
        <f>(B6-B5)*6894.7572932 + 'PDP Data'!D72</f>
        <v>146751.54164313222</v>
      </c>
    </row>
    <row r="24" spans="1:4">
      <c r="A24" t="s">
        <v>161</v>
      </c>
      <c r="B24">
        <f>(B13-B12) *6894.7572932 + 'PDP Data'!D72</f>
        <v>146131.01348674422</v>
      </c>
    </row>
    <row r="26" spans="1:4">
      <c r="A26" t="s">
        <v>261</v>
      </c>
      <c r="B26">
        <f>B20*B23</f>
        <v>114.64157962847679</v>
      </c>
    </row>
    <row r="27" spans="1:4">
      <c r="A27" t="s">
        <v>262</v>
      </c>
      <c r="B27">
        <f>B21*B24</f>
        <v>119.05418731096118</v>
      </c>
    </row>
    <row r="29" spans="1:4">
      <c r="A29" t="s">
        <v>263</v>
      </c>
      <c r="B29">
        <f>0.85*SQRT(3)*B8*B7</f>
        <v>839.44362004067909</v>
      </c>
    </row>
    <row r="30" spans="1:4">
      <c r="A30" t="s">
        <v>264</v>
      </c>
      <c r="B30">
        <f>0.85*SQRT(3)*B14*B15</f>
        <v>817.09496847061791</v>
      </c>
    </row>
    <row r="32" spans="1:4">
      <c r="A32" s="2" t="s">
        <v>265</v>
      </c>
      <c r="B32" s="2">
        <f>B26/B29</f>
        <v>0.13656852811975784</v>
      </c>
      <c r="D32" t="s">
        <v>266</v>
      </c>
    </row>
    <row r="33" spans="1:2">
      <c r="A33" s="2" t="s">
        <v>267</v>
      </c>
      <c r="B33" s="2">
        <f>B27/B30</f>
        <v>0.14570422277082259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(Invalid) CP Data</vt:lpstr>
      <vt:lpstr>CP Calibration</vt:lpstr>
      <vt:lpstr>CP Data New</vt:lpstr>
      <vt:lpstr>PDP Calibration</vt:lpstr>
      <vt:lpstr>PDP Data</vt:lpstr>
      <vt:lpstr>Error</vt:lpstr>
      <vt:lpstr>PDP Troubleshooting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Gabe Wylie</dc:creator>
  <cp:keywords/>
  <dc:description/>
  <cp:lastModifiedBy>Mark Heien</cp:lastModifiedBy>
  <cp:revision/>
  <dcterms:created xsi:type="dcterms:W3CDTF">2025-10-20T21:50:45Z</dcterms:created>
  <dcterms:modified xsi:type="dcterms:W3CDTF">2025-11-11T16:55:38Z</dcterms:modified>
  <cp:category/>
  <cp:contentStatus/>
</cp:coreProperties>
</file>